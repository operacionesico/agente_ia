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edsonperez/desarrollo/agente_ia/"/>
    </mc:Choice>
  </mc:AlternateContent>
  <xr:revisionPtr revIDLastSave="0" documentId="13_ncr:1_{933D1257-2029-1C47-ACFA-F528E43F3119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DOCUMENTO INTERNO" sheetId="1" r:id="rId1"/>
    <sheet name="FORMATOS" sheetId="2" r:id="rId2"/>
    <sheet name="MATRICES" sheetId="3" r:id="rId3"/>
    <sheet name="PETS" sheetId="4" r:id="rId4"/>
    <sheet name="PETAR" sheetId="5" r:id="rId5"/>
    <sheet name="REGLAMENTO" sheetId="6" r:id="rId6"/>
    <sheet name="PROCEDIMIENTOS" sheetId="7" r:id="rId7"/>
    <sheet name="PROTOCOLOS" sheetId="9" r:id="rId8"/>
    <sheet name="DOC EXTERNO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gFT8ZulE0BMhjqjvVuJT8HbpIbmw=="/>
    </ext>
  </extLst>
</workbook>
</file>

<file path=xl/calcChain.xml><?xml version="1.0" encoding="utf-8"?>
<calcChain xmlns="http://schemas.openxmlformats.org/spreadsheetml/2006/main">
  <c r="I13" i="9" l="1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12" i="9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12" i="7"/>
  <c r="I13" i="3"/>
  <c r="I14" i="3"/>
  <c r="I15" i="3"/>
  <c r="I16" i="3"/>
  <c r="I17" i="3"/>
  <c r="I18" i="3"/>
  <c r="I12" i="3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2" i="2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12" i="1"/>
  <c r="N7" i="9"/>
  <c r="I7" i="9"/>
  <c r="E7" i="9"/>
  <c r="A7" i="9"/>
  <c r="N7" i="7" l="1"/>
  <c r="N7" i="8" s="1"/>
  <c r="I7" i="7"/>
  <c r="I7" i="8" s="1"/>
  <c r="E7" i="7"/>
  <c r="E7" i="8" s="1"/>
  <c r="A7" i="7"/>
  <c r="A7" i="8" s="1"/>
  <c r="N7" i="6"/>
  <c r="I7" i="6"/>
  <c r="E7" i="6"/>
  <c r="A7" i="6"/>
  <c r="N7" i="5"/>
  <c r="I7" i="5"/>
  <c r="E7" i="5"/>
  <c r="A7" i="5"/>
  <c r="N7" i="4"/>
  <c r="I7" i="4"/>
  <c r="E7" i="4"/>
  <c r="A7" i="4"/>
  <c r="N7" i="3"/>
  <c r="I7" i="3"/>
  <c r="E7" i="3"/>
  <c r="A7" i="3"/>
  <c r="N7" i="2"/>
  <c r="I7" i="2"/>
  <c r="E7" i="2"/>
  <c r="A7" i="2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10" i="6"/>
</calcChain>
</file>

<file path=xl/sharedStrings.xml><?xml version="1.0" encoding="utf-8"?>
<sst xmlns="http://schemas.openxmlformats.org/spreadsheetml/2006/main" count="3798" uniqueCount="461">
  <si>
    <t xml:space="preserve">SISTEMA INTEGRADO DE GESTIÓN </t>
  </si>
  <si>
    <t>SIG-FO-001</t>
  </si>
  <si>
    <t>LISTA MAESTRA DE DOCUMENTOS</t>
  </si>
  <si>
    <t>VERSIÓN: 00</t>
  </si>
  <si>
    <t>N° DE REGISTRO</t>
  </si>
  <si>
    <t>DATOS DEL EMPLEADOR</t>
  </si>
  <si>
    <t>RAZÓN SOCIAL O DENOMINACIÓN SOCIAL</t>
  </si>
  <si>
    <t>RUC</t>
  </si>
  <si>
    <t>DOMICILIO</t>
  </si>
  <si>
    <t>ACTIVIDAD ECONÓMICA</t>
  </si>
  <si>
    <t>N° TRABAJ.  CENTRO LABORAL</t>
  </si>
  <si>
    <t>SEDE/PROYECTO</t>
  </si>
  <si>
    <t>PERÍODO</t>
  </si>
  <si>
    <t>FECHA DE ACTUALIZACIÓN</t>
  </si>
  <si>
    <t>N°</t>
  </si>
  <si>
    <t>NOMBRE DE DOCUMENTO</t>
  </si>
  <si>
    <t>SISTEMA</t>
  </si>
  <si>
    <t>TIPO DE DOCUMENTO</t>
  </si>
  <si>
    <t>NUMERACIÓN</t>
  </si>
  <si>
    <t>N° VERSIÓN</t>
  </si>
  <si>
    <t>ESTADO</t>
  </si>
  <si>
    <t>FECHA DE APROBACIÓN</t>
  </si>
  <si>
    <t>PROCESO</t>
  </si>
  <si>
    <t>DUEÑO DEL 
PROCESO</t>
  </si>
  <si>
    <t>ACCESO</t>
  </si>
  <si>
    <t>TIPO DE REGISTRO
(FÍSICO, ELECTRÓNICO)</t>
  </si>
  <si>
    <t>ALMACENAMIENTO</t>
  </si>
  <si>
    <t>DISPOSICIÓN</t>
  </si>
  <si>
    <t>CONSERVACIÓN</t>
  </si>
  <si>
    <t>CRITERIO</t>
  </si>
  <si>
    <t>ORGANIGRAMA</t>
  </si>
  <si>
    <t>SIG</t>
  </si>
  <si>
    <t>DI</t>
  </si>
  <si>
    <t>001</t>
  </si>
  <si>
    <t>00</t>
  </si>
  <si>
    <t>APROBADO</t>
  </si>
  <si>
    <t>JEFE SIG</t>
  </si>
  <si>
    <t>(NOMBRE DE LA EMPRESA)\1. SIG\1. CONTEXTO Y LIDERAZGO</t>
  </si>
  <si>
    <t>FÍSICO Y/O ELECTRÓNICO</t>
  </si>
  <si>
    <t xml:space="preserve">Carpeta compartida drive </t>
  </si>
  <si>
    <t>Todas las sedes</t>
  </si>
  <si>
    <t>3 AÑOS</t>
  </si>
  <si>
    <t xml:space="preserve">FODA </t>
  </si>
  <si>
    <t>002</t>
  </si>
  <si>
    <t>CONTEXTO DE LA ORGANIZACIÓN</t>
  </si>
  <si>
    <t>003</t>
  </si>
  <si>
    <t>MISION, VISIÓN Y VALORES</t>
  </si>
  <si>
    <t>004</t>
  </si>
  <si>
    <t>POLÍTICA DE SISTEMA INTEGRADO DE GESTIÓN</t>
  </si>
  <si>
    <t>005</t>
  </si>
  <si>
    <t>ALCANCE Y APLICABILIDAD</t>
  </si>
  <si>
    <t>006</t>
  </si>
  <si>
    <t>FICHA DE PROCESO</t>
  </si>
  <si>
    <t>007</t>
  </si>
  <si>
    <t>MAPA DE PROCESOS</t>
  </si>
  <si>
    <t>008</t>
  </si>
  <si>
    <t>PLAN DE RESPUESTA ANTE EMERGENCIAS OFICINA</t>
  </si>
  <si>
    <t>009</t>
  </si>
  <si>
    <t>SEGURIDAD Y SALUD EN EL TRABAJO</t>
  </si>
  <si>
    <t>SSOMA</t>
  </si>
  <si>
    <t>PLAN DE RESPUESTA ANTE EMERGENCIAS OBRA</t>
  </si>
  <si>
    <t>010</t>
  </si>
  <si>
    <t>CÓDIGO DE ÉTICA Y DE RESPONSABILIDAD SOCIAL</t>
  </si>
  <si>
    <t>011</t>
  </si>
  <si>
    <t>PLAN ANUAL DE SEGURIDAD Y SALUD EN EL TRABAJO</t>
  </si>
  <si>
    <t>(NOMBRE DE LA EMPRESA)\5. Gestión Seguridad y Salud</t>
  </si>
  <si>
    <t>PLAN DE SEGURIDAD Y SALUD EN EL TRABAJO OBRA</t>
  </si>
  <si>
    <t>PLAN PARA LA VIGILANCIA Y PREVENCION DEL COVID 19</t>
  </si>
  <si>
    <t>INSTRUCTIVO DE SATISFACCIÓN DEL CLIENTE</t>
  </si>
  <si>
    <t>GESTION DE CALIDAD</t>
  </si>
  <si>
    <t>PLAN DE CALIDAD</t>
  </si>
  <si>
    <t>INGENIERO DE CALIDAD</t>
  </si>
  <si>
    <t>PLAN DE MANEJO AMBIENTAL</t>
  </si>
  <si>
    <t>SGA</t>
  </si>
  <si>
    <t>MEDIO AMBIENTE</t>
  </si>
  <si>
    <t>(NOMBRE DE LA EMPRESA)\4. Gestion Ambiental</t>
  </si>
  <si>
    <t>PLAN DE MANEJO DE RESIDUOS SÓLIDOS OFICINA</t>
  </si>
  <si>
    <t>PLAN DE MANEJO DE RESIDUOS SÓLIDOS OBRA</t>
  </si>
  <si>
    <t>MANUAL ANTISOBORNO</t>
  </si>
  <si>
    <t>SGAS</t>
  </si>
  <si>
    <t>FUNCIÓN DE CUMPLIMIENTO</t>
  </si>
  <si>
    <t>INSTRUCTIVO DE INVESTIGACIÓN DE DENUNCIAS</t>
  </si>
  <si>
    <t>INSTRUCTIVO DE DEBIDA DILIGENCIA</t>
  </si>
  <si>
    <t>RESPONSABLE DE LA APROBACIÓN</t>
  </si>
  <si>
    <t>NOMBRES Y APELLIDOS</t>
  </si>
  <si>
    <t>CARGO</t>
  </si>
  <si>
    <t>FECHA</t>
  </si>
  <si>
    <t>FIRMA</t>
  </si>
  <si>
    <t xml:space="preserve">LISTA MAESTRA  DE DOCUMENTOS </t>
  </si>
  <si>
    <t>FO</t>
  </si>
  <si>
    <t>(NOMBRE DE LA EMPRESA)\1. SIG\2. CONTROL DE DOCUMENTOS</t>
  </si>
  <si>
    <t>Carpeta compartida drive y/o archivador del proceso</t>
  </si>
  <si>
    <t xml:space="preserve">PROGRAMA ANUAL DE AUDITORÍAS </t>
  </si>
  <si>
    <t>(NOMBRE DE LA EMPRESA)\1. SIG\2. AUDITORIA INTERNA</t>
  </si>
  <si>
    <t>PLAN DE AUDITORÍA</t>
  </si>
  <si>
    <t xml:space="preserve">INFORME DE AUDITORÍA </t>
  </si>
  <si>
    <t>REGISTRO DE AUDITORÍAS</t>
  </si>
  <si>
    <t xml:space="preserve">SOLICITUD Y SEGUIMIENTO DE ACCIÓN CORRECTIVA </t>
  </si>
  <si>
    <t>(NOMBRE DE LA EMPRESA)\1. SIG\3. ACCIONES CORRECTIVAS</t>
  </si>
  <si>
    <t xml:space="preserve">ACTA DE REVISIÓN POR LA DIRECCIÓN </t>
  </si>
  <si>
    <t>(NOMBRE DE LA EMPRESA)\1. SIG\4. REVISION POR LA DIRECCION</t>
  </si>
  <si>
    <t>DECLARACIÓN JURADA DE CUMPLIMIENTO DE LA POLÍTICA SIG</t>
  </si>
  <si>
    <t>RRHH</t>
  </si>
  <si>
    <t>JEFE RRHH</t>
  </si>
  <si>
    <t>(NOMBRE DE LA EMPRESA)\1. SIG\RECURSOS HUMANOS</t>
  </si>
  <si>
    <t>DECLARACIÓN JURADA DE AUTORIZACIÓN DE FIRMA ELECTRÓNICA</t>
  </si>
  <si>
    <t>DECLARACIÓN JURADA DE NO TENER ANTECEDENTES POLICIALES, JUDICIALES NI PENALES</t>
  </si>
  <si>
    <t>DECLARACIÓN JURADA DE DOMICILIO</t>
  </si>
  <si>
    <t>PERFIL DE PUESTO</t>
  </si>
  <si>
    <t>012</t>
  </si>
  <si>
    <t>FICHA DE PERSONAL</t>
  </si>
  <si>
    <t>013</t>
  </si>
  <si>
    <t>PROGRAMA ANUAL DE CAPACITACIÓN</t>
  </si>
  <si>
    <t>014</t>
  </si>
  <si>
    <t>LISTA DE ASISTENCIA</t>
  </si>
  <si>
    <t>015</t>
  </si>
  <si>
    <t>OBEJTIVOS E INDICADORES DEL SIG</t>
  </si>
  <si>
    <t>016</t>
  </si>
  <si>
    <t>(NOMBRE DE LA EMPRESA)\1. SIG\ OBJETIVOS E INDICADORES</t>
  </si>
  <si>
    <t>REGISTRO ANUAL DE OBJETIVOS E INDICADORES DEL SIG</t>
  </si>
  <si>
    <t>017</t>
  </si>
  <si>
    <t>PROGRAMA ANUAL DE SIMULACROS</t>
  </si>
  <si>
    <t>019</t>
  </si>
  <si>
    <t>(NOMBRE DE LA EMPRESA)\1. SIG\SEGURIDAD Y SALUD EN EL TRABAJO</t>
  </si>
  <si>
    <t>INFORME DE SIMULACRO</t>
  </si>
  <si>
    <t>020</t>
  </si>
  <si>
    <t>FICHA DE SELECCIÓN DEL PROVEEDOR</t>
  </si>
  <si>
    <t>021</t>
  </si>
  <si>
    <t>FICHA DE EVALUACIÓN DEL PROVEEDOR</t>
  </si>
  <si>
    <t>022</t>
  </si>
  <si>
    <t>(NOMBRE DE LA EMPRESA)\1. SIG\LOGISTICA</t>
  </si>
  <si>
    <t>LISTA DE PROVEEDORES APROBADOS</t>
  </si>
  <si>
    <t>023</t>
  </si>
  <si>
    <t>ORDEN DE COMPRA</t>
  </si>
  <si>
    <t>024</t>
  </si>
  <si>
    <t>REQUERIMIENTO DE MATERIALES</t>
  </si>
  <si>
    <t>025</t>
  </si>
  <si>
    <t>INSPECCION DE PRODUCTO COMPRADO/RECIBIDO</t>
  </si>
  <si>
    <t>026</t>
  </si>
  <si>
    <t>INVENTARIO DE EQUIPOS DE COMPUTO</t>
  </si>
  <si>
    <t>027</t>
  </si>
  <si>
    <t>(NOMBRE DE LA EMPRESA)\1. SIG\MANTENIMIENTO</t>
  </si>
  <si>
    <t>INVENTARIO DE VEHICULO, MAQUINARIAS Y EQUIPOS</t>
  </si>
  <si>
    <t>028</t>
  </si>
  <si>
    <t>REPORTE DE MANTENIMIENTO CORRECTIVO</t>
  </si>
  <si>
    <t>029</t>
  </si>
  <si>
    <t>REPORTE DE MANTENIEMIENTO PREVENTIVO</t>
  </si>
  <si>
    <t>030</t>
  </si>
  <si>
    <t>PROGRAMA DE MANTENIMIENTO</t>
  </si>
  <si>
    <t>031</t>
  </si>
  <si>
    <t>MANTENIMIENTO DE VEHICULO</t>
  </si>
  <si>
    <t>032</t>
  </si>
  <si>
    <t>034</t>
  </si>
  <si>
    <t>INSPECCION DE CAMION CISTERNA</t>
  </si>
  <si>
    <t>036</t>
  </si>
  <si>
    <t>INSPECCION DE VOLQUETE</t>
  </si>
  <si>
    <t>037</t>
  </si>
  <si>
    <t>INSPECCION DE MIXER</t>
  </si>
  <si>
    <t>038</t>
  </si>
  <si>
    <t>INSPECCION DE GRUA</t>
  </si>
  <si>
    <t>039</t>
  </si>
  <si>
    <t>INSPECCION DE RETROEXCAVADORA</t>
  </si>
  <si>
    <t>040</t>
  </si>
  <si>
    <t>INSPECCION DE MINICARGADOR</t>
  </si>
  <si>
    <t>041</t>
  </si>
  <si>
    <t>INSPECCION DE CARGADOR FRONTAL</t>
  </si>
  <si>
    <t>042</t>
  </si>
  <si>
    <t>INSPECCION DE MOTONIVELADORA</t>
  </si>
  <si>
    <t>043</t>
  </si>
  <si>
    <t>INSPECCION DE EXCAVADORA</t>
  </si>
  <si>
    <t>044</t>
  </si>
  <si>
    <t>INSPECCION DE TRACTOR</t>
  </si>
  <si>
    <t>045</t>
  </si>
  <si>
    <t>INSPECCION DE EXCAVADORA SOBRE ORUGAS</t>
  </si>
  <si>
    <t>046</t>
  </si>
  <si>
    <t>047</t>
  </si>
  <si>
    <t>048</t>
  </si>
  <si>
    <t>INSPECCION DE ATORNILLADOR INALAM-TALADRO</t>
  </si>
  <si>
    <t>049</t>
  </si>
  <si>
    <t>CHECK LIST DE AMOLADORA</t>
  </si>
  <si>
    <t>050</t>
  </si>
  <si>
    <t>CHECK LIST BOMBA DE GRASA TIPO BALDE</t>
  </si>
  <si>
    <t>051</t>
  </si>
  <si>
    <t>CHECK LIST CEPILLO ELECTRICO</t>
  </si>
  <si>
    <t>052</t>
  </si>
  <si>
    <t>CHECK LIST COMPRESORA DE AIRE 2.0 HP</t>
  </si>
  <si>
    <t>053</t>
  </si>
  <si>
    <t>CHECK LIST GENERADOR KHOLER CON AGARRADERA TIPO CARRETILLA</t>
  </si>
  <si>
    <t>054</t>
  </si>
  <si>
    <t>INSPECCION DE MARTILLO ELECTRICO DE DEMOLICION 200W HEXA118</t>
  </si>
  <si>
    <t>055</t>
  </si>
  <si>
    <t>CHECK LIST DE TROMPO MEZCLADOR</t>
  </si>
  <si>
    <t>056</t>
  </si>
  <si>
    <t>INSPECCION DE MOTOBOMBA AUTOCEVANTE DE 2X2</t>
  </si>
  <si>
    <t>057</t>
  </si>
  <si>
    <t>INSPECCION MOCHILA PARA CURADO DE CONCRETO</t>
  </si>
  <si>
    <t>058</t>
  </si>
  <si>
    <t>INSPECCION SOLDADORA ELECTRICA</t>
  </si>
  <si>
    <t>059</t>
  </si>
  <si>
    <t>INSPECCION MOCHILA SOPLADORA</t>
  </si>
  <si>
    <t>060</t>
  </si>
  <si>
    <t>INSPECCION VIBROAPISONADOR DE IMPACTO</t>
  </si>
  <si>
    <t>061</t>
  </si>
  <si>
    <t>INSPECCION EQUIPO OXICORTE</t>
  </si>
  <si>
    <t>062</t>
  </si>
  <si>
    <t>CHECK LIST PRE USO UNIDADES MOVILES</t>
  </si>
  <si>
    <t>063</t>
  </si>
  <si>
    <t>BAJA DE EQUIPO-REPARACION-MANTENIMIENTO</t>
  </si>
  <si>
    <t>064</t>
  </si>
  <si>
    <t>CHECK LIST HERRAMIENTAS MANUALES</t>
  </si>
  <si>
    <t>065</t>
  </si>
  <si>
    <t>CHECK LIST PRE USO BOMBA-DISPENSADOR-SHOTCRETERAS</t>
  </si>
  <si>
    <t>066</t>
  </si>
  <si>
    <t>INSPECCION ELEVADOR T1000</t>
  </si>
  <si>
    <t>067</t>
  </si>
  <si>
    <t>REGISTRO MENSUAL DE ESTADISTICAS DE SST</t>
  </si>
  <si>
    <t>5 AÑOS</t>
  </si>
  <si>
    <t>REGISTRO TRIMESTRAL DE ESTADÍSTICAS DE SST</t>
  </si>
  <si>
    <t>LISTA DE VERIFICACIÓN DE LINEAMIENTOS DEL SISTEMA DE GESTIÓN DE SEGURIDAD Y SALUD EN EL TRABAJO</t>
  </si>
  <si>
    <t>CARTA DEL EMPLEADOR SOLICITANDO CONVOCATORIA PARA ELECCIÓN DE LOS REPRESENTANTES DE TRABAJADORES</t>
  </si>
  <si>
    <t xml:space="preserve">CONVOCATORIA AL PROCESO DE ELECCIÓN </t>
  </si>
  <si>
    <t>CARTA DE PRESENTACIÓN DE LA CANDIDATURA</t>
  </si>
  <si>
    <t xml:space="preserve">LISTA DE CANDIDATOS INSCRITOS PARA SER ELEGIDOS </t>
  </si>
  <si>
    <t>LISTA DE CANDIDATOS INSCRITOS APTOS</t>
  </si>
  <si>
    <t>PADRÓN ELECTORAL DEL PROCESO DE ELECCIÓN</t>
  </si>
  <si>
    <t>ACTA DE INICIO DEL PROCESO DE VOTACIÓN</t>
  </si>
  <si>
    <t>ACTA DE CONCLUSIÓN DEL PROCESO DE VOTACIÓN</t>
  </si>
  <si>
    <t>PROCESO DE ELECCIÓN DE LOS REPRESENTANTES TITULARES Y SUPLENTES DE LOS TRABAJADORES</t>
  </si>
  <si>
    <t>ACTA DE INSTALACIÓN DEL COMITÉ DE SEGURIDAD Y SALUD EN EL TRABAJO</t>
  </si>
  <si>
    <t>AGENDA PARA LAS REUNIONES DEL CSST</t>
  </si>
  <si>
    <t>ACTA DE REUNIÓN DE CSST</t>
  </si>
  <si>
    <t>CRONOGRAMA DE ELECCIÓN DE SUBCOMITÉ DE SST</t>
  </si>
  <si>
    <t>PROGRAMA ANUAL DE SST</t>
  </si>
  <si>
    <t>ENTREGA DE EQUIPOS DE PROTECCIÓN PERSONAL</t>
  </si>
  <si>
    <t>018</t>
  </si>
  <si>
    <t>INSPECCIÓN DE EQUIPOS DE PROTECCIÓN PERSONAL</t>
  </si>
  <si>
    <t>INSPECCIÓN DE INSTALACIONES</t>
  </si>
  <si>
    <t>INSPECCIÓN DE BOTIQUÍN DE PRIMEROS AUXILIOS</t>
  </si>
  <si>
    <t>INSPECCIÓN DE CAMILLAS</t>
  </si>
  <si>
    <t>INSPECCIÓN DE EXTINTORES</t>
  </si>
  <si>
    <t>INSPECCIÓN DE LUCES DE EMERGENCIA</t>
  </si>
  <si>
    <t>INSPECCIÓN DE ANDAMIO</t>
  </si>
  <si>
    <t>INSPECCIÓN DE ESCALERA</t>
  </si>
  <si>
    <t>INSPECCIÓN DE KIT ANTIDERRAME</t>
  </si>
  <si>
    <t>INSPECCIÓN DE HERRAMIENTAS ELÉCTRICAS</t>
  </si>
  <si>
    <t>INSPECCIÓN DE HERRAMIENTAS MANUALES</t>
  </si>
  <si>
    <t>CHECK LIST DE ARNES Y LINEA DE VIDA</t>
  </si>
  <si>
    <t>INSPECCIÓN DE EQUIPO DE PROTECCIÓN CONTRA CAÍDAS</t>
  </si>
  <si>
    <t>CHECK LIST DE DISPOSITIVOS Y APAREJOS</t>
  </si>
  <si>
    <t>CHECK LIST PRE USO DE CISTERNA</t>
  </si>
  <si>
    <t>033</t>
  </si>
  <si>
    <t>CHECK LIST PRE USO DE VOLQUETE</t>
  </si>
  <si>
    <t>CHECK LIST PRE USO DE MIXER</t>
  </si>
  <si>
    <t>035</t>
  </si>
  <si>
    <t>CHECK LIST PRE USO DE GRÚA</t>
  </si>
  <si>
    <t>CHECK LIST PRE USO DE RETROEXCAVADORA</t>
  </si>
  <si>
    <t>CHECK LIST PRE USO DE MINICARGADOR</t>
  </si>
  <si>
    <t>CHECK LIST PRE USO DE CARGADOR FRONTAL</t>
  </si>
  <si>
    <t>CHECK LIST PRE USO DE MOTONIVELADORA</t>
  </si>
  <si>
    <t>CHECK LIST DE PRE USO DE EXCAVADORA</t>
  </si>
  <si>
    <t>CHECK LIST DE PRE USO DE TRACTOR</t>
  </si>
  <si>
    <t>LISTADO DE EQUIPOS DE EMERGENCIA</t>
  </si>
  <si>
    <t>ANÁLISIS DE TRABAJO SEGURO</t>
  </si>
  <si>
    <t>REPORTE PRELIMINAR DE ACCIDENTES E INCIDENTES</t>
  </si>
  <si>
    <t>INVESTIGACIÓN DE INCIDENTES PELIGROSOS E INCIDENTES</t>
  </si>
  <si>
    <t>INVESTIGACIÓN DE ACCIDENTES DE TRABAJO</t>
  </si>
  <si>
    <t>10 AÑOS</t>
  </si>
  <si>
    <t>REGISTRO DE ENFERMEDADES OCUPACIONALES</t>
  </si>
  <si>
    <t>20 AÑOS</t>
  </si>
  <si>
    <t>CONSENTIMIENTO DE EXAMEN MÉDICO OCUPACIONAL</t>
  </si>
  <si>
    <t>CONSENTIMIENTO PARA COMPARTIR EXAMEN MÉDICO OCUPACIONAL</t>
  </si>
  <si>
    <t>RESULTADO DE EXAMEN MÉDICO OCUPACIONAL E INDICACIONES</t>
  </si>
  <si>
    <t>EVALUACIÓN DE RIESGOS EN TRABAJADORA GESTANTE</t>
  </si>
  <si>
    <t xml:space="preserve"> MONITOREOS OCUPACIONALES</t>
  </si>
  <si>
    <t>PROGRAMA ANUAL DE EXÁMENES MÉDICOS PREOCUPACIONALES</t>
  </si>
  <si>
    <t>PROGRAMA ANUAL DE VIGILANCIA MÉDICA</t>
  </si>
  <si>
    <t>LISTA DE VERIFICACIÓN DE BIOSEGURIDAD EN EL TRABAJO</t>
  </si>
  <si>
    <t>REGISTRO DIARIO DE SINTOMATOLOGÍA</t>
  </si>
  <si>
    <t>REGISTRO DE TRABAJADORES SOSPECHOSOS</t>
  </si>
  <si>
    <t xml:space="preserve">DECLARACION JURADA FICHA DE SINTOMATOLOGÍA PARA REGRESO AL TRABAJO </t>
  </si>
  <si>
    <t>MAPA DE RISGOS</t>
  </si>
  <si>
    <t>CRONOGRAMA DE CHARLAS DIARIAS</t>
  </si>
  <si>
    <t>CHECK LIST DE PRE USO DE VEHICULO</t>
  </si>
  <si>
    <t>INSPECCIÓN DE PRODUCTOS COMPRADOS</t>
  </si>
  <si>
    <t>FICHA DE SELECCIÓN DE PERSONAL</t>
  </si>
  <si>
    <t>EVALUACIÓN DE DESEMPEÑO</t>
  </si>
  <si>
    <t>RESUMEN DE LA EVALUACIÓN DE PERSONAL</t>
  </si>
  <si>
    <t>BACKLOG DE PROYECTOS</t>
  </si>
  <si>
    <t>JEFE DE LICITACIONES</t>
  </si>
  <si>
    <t>(NOMBRE DE LA EMPRESA)\9. GESTION DE LICITACIONES\3.FORMATOS</t>
  </si>
  <si>
    <t>FICHA DE LICITACIONES</t>
  </si>
  <si>
    <t>SEGUIMIENTO DE LICITACIONES</t>
  </si>
  <si>
    <t>REPORTE PRELIMINAR DE EMERGENCIAS AMBIENTALES</t>
  </si>
  <si>
    <t>REPORTE FINAL DE EMERGENCIAS AMBIENTALES</t>
  </si>
  <si>
    <t>FICHA DE CONTROL DE RESIDUOS SÓLIDOS OFICINA</t>
  </si>
  <si>
    <t>FICHA DE CONTROL DE RESIDUOS SÓLIDOS OBRA</t>
  </si>
  <si>
    <t xml:space="preserve">FORMULARIO DE DEBIDA DILIGENCIA </t>
  </si>
  <si>
    <t>(NOMBRE DE LA EMPRESA)\1. SIG\ANTISOBORNO</t>
  </si>
  <si>
    <t>DENUNCIA DE SOBORNO</t>
  </si>
  <si>
    <t>REGISTRO DE DENUNCIAS DE SOBORNO</t>
  </si>
  <si>
    <t>MATRIZ DE PARTES INTERESADAS</t>
  </si>
  <si>
    <t>MZ</t>
  </si>
  <si>
    <t>DIRECCIÓN ESTRATÉGICA</t>
  </si>
  <si>
    <t>(NOMBRE DE LA EMPRESA)\MATRICES</t>
  </si>
  <si>
    <t>MATRIZ DE RIESGOS Y OPORTUNIDADES</t>
  </si>
  <si>
    <t>MATRIZ DE COMUNICACIONES</t>
  </si>
  <si>
    <t xml:space="preserve">MATRIZ DE REQUISITOS LEGALES </t>
  </si>
  <si>
    <t>MATRIZ DE IDENTIFICACIÓN DE PELIGROS, EVALUACIÓN DE RIESGOS Y DETERMINACIÓN DE CONTROLES</t>
  </si>
  <si>
    <t>MATRIZ DE IDENTIFICACIÓN DE ASPECTOS Y EVALUACIÓN DE IMPACTOS AMBIENTALES</t>
  </si>
  <si>
    <t>PROCEDIMIENTO ESCRITO DE TRABAJO SEGURO PARA TRABAJO EN IZAJE</t>
  </si>
  <si>
    <t>PETS</t>
  </si>
  <si>
    <t>PROCEDIMIENTO ESCRITO DE TRABAJO SEGURO PARA TRABAJO EN ALTURA</t>
  </si>
  <si>
    <t>PROCEDIMIENTO ESCRITO DE TRABAJO SEGURO PARA TRABAJO EN ELECTRICO</t>
  </si>
  <si>
    <t>PROCEDIMIENTO ESCRITO DE TRABAJO SEGURO PARA TRABAJO EN DEMOLICIPON-EXCAVACIÓN</t>
  </si>
  <si>
    <t>PROCEDIMIENTO ESCRITO DE TRABAJO SEGURO PARA TRABAJO EN CALIENTE</t>
  </si>
  <si>
    <t>PROCEDIMIENTO ESCRITO DE TRABAJO SEGURO PARA TRABAJO EN ESPACIO CONFINADO</t>
  </si>
  <si>
    <t>PROCEDIMIENTO ESCRITO DE TRABAJO SEGURO DE MANIPULACION DE MATERIALES PELIGROSOS</t>
  </si>
  <si>
    <t>PERMISO ESCRITO DE TRABAJO DE ALTO RIESGO (PETAR) - IZAJE</t>
  </si>
  <si>
    <t>PETAR</t>
  </si>
  <si>
    <t>PERMISO ESCRITO DE TRABAJO DE ALTO RIESGO (PETAR) - ALTURA</t>
  </si>
  <si>
    <t>PERMISO ESCRITO DE TRABAJO DE ALTO RIESGO (PETAR) - ELÉCTRICO</t>
  </si>
  <si>
    <t>PERMISO ESCRITO DE TRABAJO DE ALTO RIESGO (PETAR) - DEMOLICIÓN EXCAVACIÓN</t>
  </si>
  <si>
    <t>PERMISO ESCRITO DE TRABAJO DE ALTO RIESGO (PETAR) - CALIENTE</t>
  </si>
  <si>
    <t>PERMISO ESCRITO DE TRABAJO DE ALTO RIESGO (PETAR) - ESPACIO CONFINADO</t>
  </si>
  <si>
    <t>REGLAMENTO INTERNO DE TRABAJO</t>
  </si>
  <si>
    <t>RM</t>
  </si>
  <si>
    <t>RECURSOS HUMANOS</t>
  </si>
  <si>
    <t>JEFE DE RRHH</t>
  </si>
  <si>
    <t>(NOMBRE DE LA EMPRESA)\Recursos Humanos</t>
  </si>
  <si>
    <t>REGLAMENTO INTERNO DE SEGURIDAD Y SALUD EN EL TRABAJO</t>
  </si>
  <si>
    <t>PROCEDIMIENTO DE CONTROL DE DOCUMENTOS Y REGISTROS</t>
  </si>
  <si>
    <t>PR</t>
  </si>
  <si>
    <t>(NOMBRE DE LA EMPRESA)\Procedimientos</t>
  </si>
  <si>
    <t xml:space="preserve">PROCEDIMIENTO DE AUDITORÍAS </t>
  </si>
  <si>
    <t>PROCEDIMIENTO DE ACCIONES CORRECTIVAS</t>
  </si>
  <si>
    <t>PROCEDIMIENTO DE REVISIÓN POR LA DIRECCIÓN</t>
  </si>
  <si>
    <t>PROCEDIMIENTO DE GESTIÓN DEL CAMBIO</t>
  </si>
  <si>
    <t>PROCEDIMIENTO DE INVESTIGACIÓN DE INCIDENTES, ACCIDENTES, ENFERMEDADES OCUPACIONALES Y EMERGENCIAS AMBIENTALES</t>
  </si>
  <si>
    <t>PROCEDIMIENTO DE EJECUCIÓN DE COMPRAS Y MANEJO DE ALMACÉN</t>
  </si>
  <si>
    <t>(NOMBRE DE LA EMPRESA)\1. SIG\RECRSOS HUMANOS</t>
  </si>
  <si>
    <t>PROCEDIMIENTO DE RECURSOS HUMANOS</t>
  </si>
  <si>
    <t>(NOMBRE DE LA EMPRESA)\1. SIG\ADMINISTRACION Y FINANZAS</t>
  </si>
  <si>
    <t>PROCEDIMIENTO DE ADMINISTRACION Y FINANZAS</t>
  </si>
  <si>
    <t>4 AÑOS</t>
  </si>
  <si>
    <t>PROCEDIMIENTO DE IDENTIFICACIÓN DE PELIGROS, EVALUACIÓN DE RIESGOS Y DETERMINACIÓN DE CONTROLES</t>
  </si>
  <si>
    <t>PROCEDIMIENTO DE INSPECCIONES</t>
  </si>
  <si>
    <t>PROCEDIMIENTO DE TRABAJADORA GESTANTE O EN PERÍODO DE LACTANCIA NATURAL</t>
  </si>
  <si>
    <t>PROCEDIMIENTO DE GESTIÓN DE LICITACIONES</t>
  </si>
  <si>
    <t>LICITACIONES</t>
  </si>
  <si>
    <t>(NOMBRE DE LA EMPRESA)\1. SIG\ LICITACIONES</t>
  </si>
  <si>
    <t>PROCEDIMIENTO DE IDENTIFICACIÓN DE ASPECTOS Y EVALUACIÓN DE IMPACTOS AMBIENTALES</t>
  </si>
  <si>
    <t>N° VERSIÓN/ REVISIÓN</t>
  </si>
  <si>
    <t>ISO 14001: 2015</t>
  </si>
  <si>
    <t>EXTERNO</t>
  </si>
  <si>
    <t>-</t>
  </si>
  <si>
    <t>2015</t>
  </si>
  <si>
    <t>Jefe SIG</t>
  </si>
  <si>
    <t>\SIG/CONTROL DE DOC/DOC EXTERNOS</t>
  </si>
  <si>
    <t>Carpeta compartida drive</t>
  </si>
  <si>
    <t>ISO 45001: 2018</t>
  </si>
  <si>
    <t>2018</t>
  </si>
  <si>
    <t xml:space="preserve">ISO 37001:2016 </t>
  </si>
  <si>
    <t>2016</t>
  </si>
  <si>
    <t>Ley 29783 de Seguridad y Salud en el Trabajo</t>
  </si>
  <si>
    <t>Ley 30424</t>
  </si>
  <si>
    <t>D.S. 002-2019-JUS</t>
  </si>
  <si>
    <t>D.L. 1385</t>
  </si>
  <si>
    <t>Ley 30424. "LEY QUE REGULA LA RESPONSABILIDAD ADMINISTRATIVA DE LAS PERSONAS JURÍDICAS POR EL DELITO DE COHECHO ACTIVO TRANSNACIONAL"</t>
  </si>
  <si>
    <t>D.S. 002-2019-JUS. "Reglamento de la Ley N° 30424, Ley que regula la Responsabilidad Administrativa de las Personas Jurídicas"</t>
  </si>
  <si>
    <t>D.L. 1385 "DECRETO LEGISLATIVO QUE SANCIONA LA CORRUPCIÓN EN EL ÁMBITO PRIVADO"</t>
  </si>
  <si>
    <t>D.L. 1352 "DECRETO LEGISLATIVO QUE AMPLIA LA RESPONSABILIDAD ADMINISTRATIVA DE LAS PERSONAS JURÍDICAS"</t>
  </si>
  <si>
    <t>D.L. 1327. "DECRETO LEGISLATIVO QUE ESTABLECE MEDIDAS DE PROTECCIÓN PARA EL DENUNCIANTE DE ACTOS DE CORRUPCIÓN Y SANCIONA LAS DENUNCIAS REALIZADAS DE MALA FE"</t>
  </si>
  <si>
    <t>Código CIVIL</t>
  </si>
  <si>
    <t>ISO 19011:2018</t>
  </si>
  <si>
    <t>Ley 27345 Ley de promoción del Uso Eficiente de la Energía</t>
  </si>
  <si>
    <t>DECRETO SUPREMO Nº 053-2007-EM
Aprueban Reglamento de la Ley de Promoción del Uso Eficiente
de la Energía</t>
  </si>
  <si>
    <t>Examenes Médicos</t>
  </si>
  <si>
    <t xml:space="preserve">RRHH/SSOMA </t>
  </si>
  <si>
    <t>Jefe SSOMA</t>
  </si>
  <si>
    <t>\ISOS/ISO45001/SALUD OCUPACIONAL</t>
  </si>
  <si>
    <t xml:space="preserve"> 20 años</t>
  </si>
  <si>
    <t>HOJA MSDS</t>
  </si>
  <si>
    <t>.</t>
  </si>
  <si>
    <t xml:space="preserve">SSOMA/Responsable de Almacen </t>
  </si>
  <si>
    <t>\G.LOGÍSTICA</t>
  </si>
  <si>
    <t>3 años</t>
  </si>
  <si>
    <t>FACTURAS</t>
  </si>
  <si>
    <t xml:space="preserve">Responsable de Logistica/ finanzas </t>
  </si>
  <si>
    <t>Jefe de Logistica</t>
  </si>
  <si>
    <t xml:space="preserve"> 6 años</t>
  </si>
  <si>
    <t>DECLARACIÓN DE AFP Y ONP</t>
  </si>
  <si>
    <t>Jefe de RRHH</t>
  </si>
  <si>
    <t>\G.RRHH</t>
  </si>
  <si>
    <t xml:space="preserve">FICHAS TÉCNICAS </t>
  </si>
  <si>
    <t>ISO 14001:2015 , ISO 45001:2018 , ISO 37001:2016 , ISO 9001:2015</t>
  </si>
  <si>
    <t>PROCEDIMIENTO DE RESPALDO DE LA INFORMACIÓN</t>
  </si>
  <si>
    <t>ISO 14001:2015 , ISO 45001:2018 , ISO 37001:2016 , ISO 9001:2016</t>
  </si>
  <si>
    <t>DECLARACIÓN JURADA DE VERACIDAD DE INFORMACIÓN Y DOCUMENTACIÓN DE CURRICULUM VITAE</t>
  </si>
  <si>
    <t>RENDICIÓN DE CAJA CHICA</t>
  </si>
  <si>
    <t>RECIBO DE CAJA CHICA</t>
  </si>
  <si>
    <t>PROTOCOLO DE CALIDAD DE DEMOLICIÓN Y DESMONTAJE</t>
  </si>
  <si>
    <t>PROTOCOLO DE ENCOFRADO</t>
  </si>
  <si>
    <t>PROTOCOLO DE EXCAVACIÓN</t>
  </si>
  <si>
    <t xml:space="preserve">PROTOCOLO DE HABILITACIÓN DE ACERO </t>
  </si>
  <si>
    <t>PROTOCOLO DE INSTALACIÓN DE LÍNEA DE CONDUCCIÓN</t>
  </si>
  <si>
    <t>PROTOCOLO DE INSTALACIÓN DE POSTES</t>
  </si>
  <si>
    <t>PROTOCOLO DE INSTALACIÓN DE POZO A TIERRA</t>
  </si>
  <si>
    <t>PROTOCOLO DE PRUEBA HIDRAULICA EN TUBERIAS</t>
  </si>
  <si>
    <t>PROTOCOLO DE RELLENO Y COMPACTACIÓN</t>
  </si>
  <si>
    <t xml:space="preserve">PROTOCOLO DE TRAZO NIVELACIÓN Y REPLANTEO </t>
  </si>
  <si>
    <t>PROTOCOLO DE CONFORMACIÓN DE SUB BASE</t>
  </si>
  <si>
    <t>PROTO</t>
  </si>
  <si>
    <t>GESTIÓN DE CALIDAD</t>
  </si>
  <si>
    <t>(NOMBRE DE LA EMPRESA)\9. GESTIÓN DE PROYECTOS \5. CALIDAD\1. PROTOCOLOS\FORMATOS</t>
  </si>
  <si>
    <t>CONTROL DE ENSAYO</t>
  </si>
  <si>
    <t>PROTOCOLO DE VERIFICACIÓN DE TRABAJOS DE ESTRUCTURAS</t>
  </si>
  <si>
    <t>PROTOCOLO DE INSTALACIÓN DE AISLADORES</t>
  </si>
  <si>
    <t xml:space="preserve">PROTOCOLO DE RETIRO DE PLACA DE AISLADORES </t>
  </si>
  <si>
    <t xml:space="preserve">PROTOCOLO CALIDAD DE CONCRETO </t>
  </si>
  <si>
    <t xml:space="preserve">PROTOCOLO DE ENCONFRADO </t>
  </si>
  <si>
    <t>PROTOCOLO DE PINTADO DE ESTRUCTURAS</t>
  </si>
  <si>
    <t>01</t>
  </si>
  <si>
    <t>02</t>
  </si>
  <si>
    <t>03</t>
  </si>
  <si>
    <t>04</t>
  </si>
  <si>
    <t>05</t>
  </si>
  <si>
    <t>06</t>
  </si>
  <si>
    <t>CONTROL DE VACIO DE CONTRAPISO</t>
  </si>
  <si>
    <t>PROTOCOLO DE ALBAÑILERIA</t>
  </si>
  <si>
    <t>INSPECCIÓN DE TARRAJEOS Y DERRAMES</t>
  </si>
  <si>
    <t>PROTOCOLO DE PINTURA</t>
  </si>
  <si>
    <t>TABIQUERIA DRYWAL</t>
  </si>
  <si>
    <t>07</t>
  </si>
  <si>
    <t>08</t>
  </si>
  <si>
    <t>09</t>
  </si>
  <si>
    <t>FABRICACIÓN Y ESAMBLAJE DE DUCTOS METALICOS</t>
  </si>
  <si>
    <t>FORRADO DE DUCTOS CON FIBRA DE VIDRIO</t>
  </si>
  <si>
    <t>PINTADO DE TUBERIAS DEL SISTEMA AIRE INDUSTRIAL</t>
  </si>
  <si>
    <t>INSTALACION TUBERIA AGUA CALIENTE</t>
  </si>
  <si>
    <t>MONTANJE Y ESAMBLAJE DE TUBERIA DE COBRE RED DE VACIO</t>
  </si>
  <si>
    <t>MONTAJE Y ESAMBLAJE DE TUBERIA DE COBRE RED AIRE MEDICINAL</t>
  </si>
  <si>
    <t>MONTAJE Y ESAMBLAJE DE TUBERIA DE COBRE RED AIRE INDUSTRIAL</t>
  </si>
  <si>
    <t>MONTAJE Y ESAMBLAJE DE TUBERIA DE COBRE RED EVAC UACIONES DE GASES</t>
  </si>
  <si>
    <t>MONTAJE Y ESAMBLAJE DE TUBERIA DE COBRE RED GLP</t>
  </si>
  <si>
    <t>MONTAJE Y ESAMBLAJE DE TUBERIA SCH 40 RED DE PETROLEO</t>
  </si>
  <si>
    <t>MONTAJE Y ESAMBLAJE DE TUBERIA SCH 40 RED DE AGUA CALIENTE</t>
  </si>
  <si>
    <t>MONTAJE Y ESAMBLAJE DE TUBERIA OXIGENO</t>
  </si>
  <si>
    <t>PINTADO DE TUBERIAS GASES MEDICINALES AIRE MEDICINAL</t>
  </si>
  <si>
    <t>PINTADO DE TUBERIAS GASES MEDICINALES OXIGENO</t>
  </si>
  <si>
    <t>PINTADO DE TUBERIAS GASES MEDICINALES VACIO</t>
  </si>
  <si>
    <t>PRESION DE AIRE INDUSTRIAL</t>
  </si>
  <si>
    <t>PRESION DE AIRE MEDICINAL</t>
  </si>
  <si>
    <t>PRESION DE EVACUACION DE GASES</t>
  </si>
  <si>
    <t>PRESION DE HVAC</t>
  </si>
  <si>
    <t>PRESION DE OXIGENO</t>
  </si>
  <si>
    <t>PRUEBA DE CALEFACTOR</t>
  </si>
  <si>
    <t>PRUEBA DE INYECTORES</t>
  </si>
  <si>
    <t>PROCEDIMIENTO DE SATISFACCION DEL CLIENTE</t>
  </si>
  <si>
    <t>GSI</t>
  </si>
  <si>
    <t>REVISIÓN POR LA FUNCIÓN DE CUMPLIMIENTO</t>
  </si>
  <si>
    <t>PROTOCOLO DE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</si>
</sst>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rial"/>
      <scheme val="minor"/>
    </font>
    <font>
      <b/>
      <sz val="14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theme="9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3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14" fontId="3" fillId="2" borderId="6" xfId="0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49" fontId="4" fillId="2" borderId="9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center" vertical="center"/>
    </xf>
    <xf numFmtId="49" fontId="5" fillId="2" borderId="23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vertical="center"/>
    </xf>
    <xf numFmtId="0" fontId="11" fillId="3" borderId="9" xfId="0" applyFont="1" applyFill="1" applyBorder="1" applyAlignment="1">
      <alignment vertical="center"/>
    </xf>
    <xf numFmtId="0" fontId="11" fillId="3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49" fontId="12" fillId="6" borderId="9" xfId="0" applyNumberFormat="1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49" fontId="12" fillId="2" borderId="6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9" fontId="12" fillId="2" borderId="6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4" fontId="5" fillId="2" borderId="9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8" fillId="5" borderId="19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/>
    </xf>
    <xf numFmtId="0" fontId="2" fillId="0" borderId="22" xfId="0" applyFont="1" applyBorder="1"/>
    <xf numFmtId="0" fontId="18" fillId="0" borderId="19" xfId="0" applyFont="1" applyBorder="1" applyAlignment="1">
      <alignment horizontal="center" vertical="center"/>
    </xf>
    <xf numFmtId="0" fontId="2" fillId="0" borderId="27" xfId="0" applyFont="1" applyBorder="1"/>
    <xf numFmtId="14" fontId="10" fillId="0" borderId="27" xfId="0" applyNumberFormat="1" applyFont="1" applyBorder="1" applyAlignment="1">
      <alignment horizontal="center" vertical="center"/>
    </xf>
    <xf numFmtId="0" fontId="2" fillId="0" borderId="30" xfId="0" applyFont="1" applyBorder="1"/>
    <xf numFmtId="0" fontId="5" fillId="7" borderId="31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49" fontId="4" fillId="2" borderId="31" xfId="0" applyNumberFormat="1" applyFont="1" applyFill="1" applyBorder="1" applyAlignment="1">
      <alignment horizontal="center" vertical="center" wrapText="1"/>
    </xf>
    <xf numFmtId="49" fontId="5" fillId="2" borderId="31" xfId="0" applyNumberFormat="1" applyFont="1" applyFill="1" applyBorder="1" applyAlignment="1">
      <alignment horizontal="center" vertical="center"/>
    </xf>
    <xf numFmtId="14" fontId="5" fillId="2" borderId="31" xfId="0" applyNumberFormat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49" fontId="4" fillId="2" borderId="23" xfId="0" applyNumberFormat="1" applyFont="1" applyFill="1" applyBorder="1" applyAlignment="1">
      <alignment horizontal="center" vertical="center" wrapText="1"/>
    </xf>
    <xf numFmtId="14" fontId="5" fillId="2" borderId="23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49" fontId="5" fillId="2" borderId="28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49" fontId="4" fillId="2" borderId="28" xfId="0" applyNumberFormat="1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 wrapText="1"/>
    </xf>
    <xf numFmtId="14" fontId="5" fillId="2" borderId="38" xfId="0" applyNumberFormat="1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 wrapText="1"/>
    </xf>
    <xf numFmtId="49" fontId="5" fillId="2" borderId="34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14" fontId="5" fillId="2" borderId="34" xfId="0" applyNumberFormat="1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left" vertical="center" wrapText="1"/>
    </xf>
    <xf numFmtId="0" fontId="9" fillId="4" borderId="34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 wrapText="1"/>
    </xf>
    <xf numFmtId="14" fontId="5" fillId="2" borderId="9" xfId="0" applyNumberFormat="1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34" xfId="0" applyBorder="1" applyAlignment="1">
      <alignment horizontal="center" vertical="center" wrapText="1"/>
    </xf>
    <xf numFmtId="14" fontId="5" fillId="2" borderId="24" xfId="0" applyNumberFormat="1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49" fontId="5" fillId="2" borderId="34" xfId="0" applyNumberFormat="1" applyFont="1" applyFill="1" applyBorder="1" applyAlignment="1">
      <alignment horizontal="center" vertical="center" wrapText="1"/>
    </xf>
    <xf numFmtId="49" fontId="5" fillId="2" borderId="35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49" fontId="4" fillId="2" borderId="15" xfId="0" applyNumberFormat="1" applyFont="1" applyFill="1" applyBorder="1" applyAlignment="1">
      <alignment horizontal="center" vertical="center" wrapText="1"/>
    </xf>
    <xf numFmtId="49" fontId="5" fillId="2" borderId="31" xfId="0" applyNumberFormat="1" applyFont="1" applyFill="1" applyBorder="1" applyAlignment="1">
      <alignment horizontal="center" vertical="center" wrapText="1"/>
    </xf>
    <xf numFmtId="14" fontId="5" fillId="2" borderId="31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2" fillId="9" borderId="4" xfId="0" applyFont="1" applyFill="1" applyBorder="1"/>
    <xf numFmtId="0" fontId="2" fillId="9" borderId="5" xfId="0" applyFont="1" applyFill="1" applyBorder="1"/>
    <xf numFmtId="0" fontId="5" fillId="2" borderId="3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5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1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8" fillId="5" borderId="19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/>
    </xf>
    <xf numFmtId="0" fontId="2" fillId="0" borderId="22" xfId="0" applyFont="1" applyBorder="1"/>
    <xf numFmtId="0" fontId="18" fillId="0" borderId="19" xfId="0" applyFont="1" applyBorder="1" applyAlignment="1">
      <alignment horizontal="center" vertical="center"/>
    </xf>
    <xf numFmtId="0" fontId="9" fillId="4" borderId="29" xfId="0" applyFont="1" applyFill="1" applyBorder="1" applyAlignment="1">
      <alignment horizontal="left" vertical="center" wrapText="1"/>
    </xf>
    <xf numFmtId="0" fontId="2" fillId="0" borderId="27" xfId="0" applyFont="1" applyBorder="1"/>
    <xf numFmtId="14" fontId="10" fillId="0" borderId="27" xfId="0" applyNumberFormat="1" applyFont="1" applyBorder="1" applyAlignment="1">
      <alignment horizontal="center" vertical="center"/>
    </xf>
    <xf numFmtId="0" fontId="2" fillId="0" borderId="30" xfId="0" applyFont="1" applyBorder="1"/>
    <xf numFmtId="0" fontId="9" fillId="4" borderId="28" xfId="0" applyFont="1" applyFill="1" applyBorder="1" applyAlignment="1">
      <alignment horizontal="left" vertical="center" wrapText="1"/>
    </xf>
    <xf numFmtId="0" fontId="2" fillId="0" borderId="28" xfId="0" applyFont="1" applyBorder="1"/>
    <xf numFmtId="0" fontId="5" fillId="9" borderId="13" xfId="0" applyFont="1" applyFill="1" applyBorder="1" applyAlignment="1">
      <alignment vertical="center" wrapText="1"/>
    </xf>
    <xf numFmtId="0" fontId="2" fillId="9" borderId="26" xfId="0" applyFont="1" applyFill="1" applyBorder="1"/>
    <xf numFmtId="0" fontId="2" fillId="9" borderId="15" xfId="0" applyFont="1" applyFill="1" applyBorder="1"/>
    <xf numFmtId="0" fontId="5" fillId="9" borderId="3" xfId="0" applyFont="1" applyFill="1" applyBorder="1" applyAlignment="1">
      <alignment vertical="center" wrapText="1"/>
    </xf>
    <xf numFmtId="0" fontId="5" fillId="9" borderId="10" xfId="0" applyFont="1" applyFill="1" applyBorder="1" applyAlignment="1">
      <alignment vertical="center" wrapText="1"/>
    </xf>
    <xf numFmtId="0" fontId="2" fillId="9" borderId="11" xfId="0" applyFont="1" applyFill="1" applyBorder="1"/>
    <xf numFmtId="0" fontId="5" fillId="2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5" fillId="9" borderId="40" xfId="0" applyFont="1" applyFill="1" applyBorder="1" applyAlignment="1">
      <alignment horizontal="left" vertical="center" wrapText="1"/>
    </xf>
    <xf numFmtId="0" fontId="5" fillId="9" borderId="41" xfId="0" applyFont="1" applyFill="1" applyBorder="1" applyAlignment="1">
      <alignment horizontal="left" vertical="center" wrapText="1"/>
    </xf>
    <xf numFmtId="0" fontId="5" fillId="9" borderId="42" xfId="0" applyFont="1" applyFill="1" applyBorder="1" applyAlignment="1">
      <alignment horizontal="left" vertical="center" wrapText="1"/>
    </xf>
    <xf numFmtId="0" fontId="0" fillId="9" borderId="28" xfId="0" applyFill="1" applyBorder="1" applyAlignment="1">
      <alignment horizontal="left" vertical="center"/>
    </xf>
    <xf numFmtId="0" fontId="0" fillId="9" borderId="32" xfId="0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0" fontId="5" fillId="9" borderId="16" xfId="0" applyFont="1" applyFill="1" applyBorder="1" applyAlignment="1">
      <alignment horizontal="left" vertical="center"/>
    </xf>
    <xf numFmtId="0" fontId="5" fillId="9" borderId="10" xfId="0" applyFont="1" applyFill="1" applyBorder="1" applyAlignment="1">
      <alignment horizontal="left" vertical="center" wrapText="1"/>
    </xf>
    <xf numFmtId="0" fontId="5" fillId="9" borderId="11" xfId="0" applyFont="1" applyFill="1" applyBorder="1" applyAlignment="1">
      <alignment horizontal="left" vertical="center" wrapText="1"/>
    </xf>
    <xf numFmtId="0" fontId="5" fillId="9" borderId="24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0" borderId="26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0" borderId="24" xfId="0" applyFont="1" applyBorder="1"/>
    <xf numFmtId="0" fontId="9" fillId="4" borderId="19" xfId="0" applyFont="1" applyFill="1" applyBorder="1" applyAlignment="1">
      <alignment horizontal="left" vertical="center"/>
    </xf>
    <xf numFmtId="0" fontId="8" fillId="5" borderId="19" xfId="0" applyFont="1" applyFill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11" fillId="2" borderId="26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1905000</xdr:colOff>
      <xdr:row>14</xdr:row>
      <xdr:rowOff>0</xdr:rowOff>
    </xdr:from>
    <xdr:ext cx="10477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298375" y="3670463"/>
          <a:ext cx="952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1905000</xdr:colOff>
      <xdr:row>18</xdr:row>
      <xdr:rowOff>0</xdr:rowOff>
    </xdr:from>
    <xdr:ext cx="10477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298375" y="3670463"/>
          <a:ext cx="952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1905000</xdr:colOff>
      <xdr:row>18</xdr:row>
      <xdr:rowOff>0</xdr:rowOff>
    </xdr:from>
    <xdr:ext cx="104775" cy="2286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298375" y="3670463"/>
          <a:ext cx="952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1905000</xdr:colOff>
      <xdr:row>18</xdr:row>
      <xdr:rowOff>0</xdr:rowOff>
    </xdr:from>
    <xdr:ext cx="104775" cy="2286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298375" y="3670463"/>
          <a:ext cx="952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2"/>
  <sheetViews>
    <sheetView tabSelected="1" topLeftCell="A19" zoomScale="75" zoomScaleNormal="50" workbookViewId="0">
      <selection activeCell="I28" sqref="I28"/>
    </sheetView>
  </sheetViews>
  <sheetFormatPr baseColWidth="10" defaultColWidth="10.140625" defaultRowHeight="15" customHeight="1" x14ac:dyDescent="0.2"/>
  <cols>
    <col min="1" max="1" width="11" customWidth="1"/>
    <col min="2" max="2" width="56.85546875" customWidth="1"/>
    <col min="3" max="3" width="28.42578125" customWidth="1"/>
    <col min="4" max="4" width="38.140625" customWidth="1"/>
    <col min="5" max="5" width="14.85546875" customWidth="1"/>
    <col min="6" max="6" width="17" customWidth="1"/>
    <col min="7" max="7" width="15.140625" customWidth="1"/>
    <col min="8" max="8" width="13.140625" customWidth="1"/>
    <col min="9" max="9" width="68.28515625" customWidth="1"/>
    <col min="10" max="10" width="19.85546875" customWidth="1"/>
    <col min="11" max="11" width="20.85546875" customWidth="1"/>
    <col min="12" max="13" width="20.140625" customWidth="1"/>
    <col min="14" max="14" width="41.85546875" customWidth="1"/>
    <col min="15" max="16" width="22.85546875" customWidth="1"/>
    <col min="17" max="17" width="26.85546875" customWidth="1"/>
    <col min="18" max="18" width="118.140625" customWidth="1"/>
    <col min="19" max="27" width="10.5703125" customWidth="1"/>
  </cols>
  <sheetData>
    <row r="1" spans="1:27" ht="34.5" customHeight="1" x14ac:dyDescent="0.2">
      <c r="A1" s="149"/>
      <c r="B1" s="150"/>
      <c r="C1" s="153" t="s">
        <v>0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2"/>
      <c r="Q1" s="153" t="s">
        <v>1</v>
      </c>
      <c r="R1" s="132"/>
      <c r="S1" s="1"/>
      <c r="T1" s="1"/>
      <c r="U1" s="1"/>
      <c r="V1" s="1"/>
      <c r="W1" s="1"/>
      <c r="X1" s="1"/>
      <c r="Y1" s="1"/>
      <c r="Z1" s="1"/>
      <c r="AA1" s="1"/>
    </row>
    <row r="2" spans="1:27" ht="197" customHeight="1" x14ac:dyDescent="0.2">
      <c r="A2" s="151"/>
      <c r="B2" s="152"/>
      <c r="C2" s="153" t="s">
        <v>2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53" t="s">
        <v>3</v>
      </c>
      <c r="R2" s="132"/>
      <c r="S2" s="1"/>
      <c r="T2" s="1"/>
      <c r="U2" s="1"/>
      <c r="V2" s="1"/>
      <c r="W2" s="1"/>
      <c r="X2" s="1"/>
      <c r="Y2" s="1"/>
      <c r="Z2" s="1"/>
      <c r="AA2" s="1"/>
    </row>
    <row r="3" spans="1:27" ht="30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</row>
    <row r="4" spans="1:27" ht="30" customHeight="1" x14ac:dyDescent="0.2">
      <c r="A4" s="3" t="s">
        <v>4</v>
      </c>
      <c r="B4" s="3"/>
      <c r="C4" s="145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2"/>
      <c r="S4" s="1"/>
      <c r="T4" s="1"/>
      <c r="U4" s="1"/>
      <c r="V4" s="1"/>
      <c r="W4" s="1"/>
      <c r="X4" s="1"/>
      <c r="Y4" s="1"/>
      <c r="Z4" s="1"/>
      <c r="AA4" s="1"/>
    </row>
    <row r="5" spans="1:27" ht="30" customHeight="1" x14ac:dyDescent="0.2">
      <c r="A5" s="146" t="s">
        <v>5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2"/>
      <c r="S5" s="1"/>
      <c r="T5" s="1"/>
      <c r="U5" s="1"/>
      <c r="V5" s="1"/>
      <c r="W5" s="1"/>
      <c r="X5" s="1"/>
      <c r="Y5" s="1"/>
      <c r="Z5" s="1"/>
      <c r="AA5" s="1"/>
    </row>
    <row r="6" spans="1:27" ht="30" customHeight="1" x14ac:dyDescent="0.2">
      <c r="A6" s="135" t="s">
        <v>6</v>
      </c>
      <c r="B6" s="136"/>
      <c r="C6" s="136"/>
      <c r="D6" s="137"/>
      <c r="E6" s="135" t="s">
        <v>7</v>
      </c>
      <c r="F6" s="136"/>
      <c r="G6" s="136"/>
      <c r="H6" s="137"/>
      <c r="I6" s="135" t="s">
        <v>8</v>
      </c>
      <c r="J6" s="136"/>
      <c r="K6" s="136"/>
      <c r="L6" s="136"/>
      <c r="M6" s="137"/>
      <c r="N6" s="135" t="s">
        <v>9</v>
      </c>
      <c r="O6" s="136"/>
      <c r="P6" s="137"/>
      <c r="Q6" s="135" t="s">
        <v>10</v>
      </c>
      <c r="R6" s="137"/>
      <c r="S6" s="1"/>
      <c r="T6" s="1"/>
      <c r="U6" s="1"/>
      <c r="V6" s="1"/>
      <c r="W6" s="1"/>
      <c r="X6" s="1"/>
      <c r="Y6" s="1"/>
      <c r="Z6" s="1"/>
      <c r="AA6" s="1"/>
    </row>
    <row r="7" spans="1:27" ht="72.5" customHeight="1" x14ac:dyDescent="0.2">
      <c r="A7" s="139"/>
      <c r="B7" s="140"/>
      <c r="C7" s="140"/>
      <c r="D7" s="141"/>
      <c r="E7" s="139"/>
      <c r="F7" s="140"/>
      <c r="G7" s="140"/>
      <c r="H7" s="141"/>
      <c r="I7" s="139"/>
      <c r="J7" s="140"/>
      <c r="K7" s="140"/>
      <c r="L7" s="140"/>
      <c r="M7" s="141"/>
      <c r="N7" s="147"/>
      <c r="O7" s="140"/>
      <c r="P7" s="141"/>
      <c r="Q7" s="138"/>
      <c r="R7" s="132"/>
      <c r="S7" s="1"/>
      <c r="T7" s="1"/>
      <c r="U7" s="1"/>
      <c r="V7" s="1"/>
      <c r="W7" s="1"/>
      <c r="X7" s="1"/>
      <c r="Y7" s="1"/>
      <c r="Z7" s="1"/>
      <c r="AA7" s="1"/>
    </row>
    <row r="8" spans="1:27" ht="30" customHeight="1" x14ac:dyDescent="0.2">
      <c r="A8" s="142" t="s">
        <v>11</v>
      </c>
      <c r="B8" s="143"/>
      <c r="C8" s="144"/>
      <c r="D8" s="148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4"/>
      <c r="S8" s="1"/>
      <c r="T8" s="1"/>
      <c r="U8" s="1"/>
      <c r="V8" s="1"/>
      <c r="W8" s="1"/>
      <c r="X8" s="1"/>
      <c r="Y8" s="1"/>
      <c r="Z8" s="1"/>
      <c r="AA8" s="1"/>
    </row>
    <row r="9" spans="1:27" ht="30" customHeight="1" x14ac:dyDescent="0.2">
      <c r="A9" s="130" t="s">
        <v>12</v>
      </c>
      <c r="B9" s="131"/>
      <c r="C9" s="131"/>
      <c r="D9" s="131"/>
      <c r="E9" s="131"/>
      <c r="F9" s="131"/>
      <c r="G9" s="131"/>
      <c r="H9" s="131"/>
      <c r="I9" s="132"/>
      <c r="J9" s="130" t="s">
        <v>13</v>
      </c>
      <c r="K9" s="131"/>
      <c r="L9" s="131"/>
      <c r="M9" s="131"/>
      <c r="N9" s="131"/>
      <c r="O9" s="131"/>
      <c r="P9" s="131"/>
      <c r="Q9" s="131"/>
      <c r="R9" s="132"/>
      <c r="S9" s="1"/>
      <c r="T9" s="1"/>
      <c r="U9" s="1"/>
      <c r="V9" s="1"/>
      <c r="W9" s="1"/>
      <c r="X9" s="1"/>
      <c r="Y9" s="1"/>
      <c r="Z9" s="1"/>
      <c r="AA9" s="1"/>
    </row>
    <row r="10" spans="1:27" ht="45.5" customHeight="1" x14ac:dyDescent="0.2">
      <c r="A10" s="133"/>
      <c r="B10" s="131"/>
      <c r="C10" s="131"/>
      <c r="D10" s="131"/>
      <c r="E10" s="131"/>
      <c r="F10" s="131"/>
      <c r="G10" s="131"/>
      <c r="H10" s="131"/>
      <c r="I10" s="132"/>
      <c r="J10" s="134"/>
      <c r="K10" s="131"/>
      <c r="L10" s="131"/>
      <c r="M10" s="131"/>
      <c r="N10" s="131"/>
      <c r="O10" s="131"/>
      <c r="P10" s="131"/>
      <c r="Q10" s="131"/>
      <c r="R10" s="132"/>
      <c r="S10" s="1"/>
      <c r="T10" s="1"/>
      <c r="U10" s="1"/>
      <c r="V10" s="1"/>
      <c r="W10" s="1"/>
      <c r="X10" s="1"/>
      <c r="Y10" s="1"/>
      <c r="Z10" s="1"/>
      <c r="AA10" s="1"/>
    </row>
    <row r="11" spans="1:27" ht="34.5" customHeight="1" x14ac:dyDescent="0.2">
      <c r="A11" s="4" t="s">
        <v>14</v>
      </c>
      <c r="B11" s="130" t="s">
        <v>15</v>
      </c>
      <c r="C11" s="131"/>
      <c r="D11" s="132"/>
      <c r="E11" s="5" t="s">
        <v>16</v>
      </c>
      <c r="F11" s="5" t="s">
        <v>17</v>
      </c>
      <c r="G11" s="5" t="s">
        <v>18</v>
      </c>
      <c r="H11" s="4" t="s">
        <v>19</v>
      </c>
      <c r="I11" s="4" t="s">
        <v>20</v>
      </c>
      <c r="J11" s="4" t="s">
        <v>21</v>
      </c>
      <c r="K11" s="6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Q11" s="4" t="s">
        <v>28</v>
      </c>
      <c r="R11" s="4" t="s">
        <v>29</v>
      </c>
      <c r="S11" s="7"/>
      <c r="T11" s="7"/>
      <c r="U11" s="7"/>
      <c r="V11" s="7"/>
      <c r="W11" s="7"/>
      <c r="X11" s="7"/>
      <c r="Y11" s="7"/>
      <c r="Z11" s="7"/>
      <c r="AA11" s="7"/>
    </row>
    <row r="12" spans="1:27" ht="96.75" customHeight="1" x14ac:dyDescent="0.2">
      <c r="A12" s="50">
        <v>1</v>
      </c>
      <c r="B12" s="129" t="s">
        <v>30</v>
      </c>
      <c r="C12" s="123"/>
      <c r="D12" s="124"/>
      <c r="E12" s="8" t="s">
        <v>458</v>
      </c>
      <c r="F12" s="8" t="s">
        <v>32</v>
      </c>
      <c r="G12" s="9" t="s">
        <v>33</v>
      </c>
      <c r="H12" s="10" t="s">
        <v>34</v>
      </c>
      <c r="I12" s="8" t="str">
        <f>_xlfn.CONCAT(B12," ",E12,"-",F12,"-",G12," Ver. ",H12," de fecha 7/07/2025")</f>
        <v>ORGANIGRAMA GSI-DI-001 Ver. 00 de fecha 7/07/2025</v>
      </c>
      <c r="J12" s="49"/>
      <c r="K12" s="11" t="s">
        <v>31</v>
      </c>
      <c r="L12" s="8" t="s">
        <v>36</v>
      </c>
      <c r="M12" s="11" t="s">
        <v>37</v>
      </c>
      <c r="N12" s="8" t="s">
        <v>38</v>
      </c>
      <c r="O12" s="11" t="s">
        <v>39</v>
      </c>
      <c r="P12" s="8" t="s">
        <v>40</v>
      </c>
      <c r="Q12" s="8" t="s">
        <v>41</v>
      </c>
      <c r="R12" s="52" t="s">
        <v>394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96.75" customHeight="1" x14ac:dyDescent="0.2">
      <c r="A13" s="50">
        <v>2</v>
      </c>
      <c r="B13" s="129" t="s">
        <v>42</v>
      </c>
      <c r="C13" s="123"/>
      <c r="D13" s="124"/>
      <c r="E13" s="8" t="s">
        <v>458</v>
      </c>
      <c r="F13" s="8" t="s">
        <v>32</v>
      </c>
      <c r="G13" s="9" t="s">
        <v>43</v>
      </c>
      <c r="H13" s="10" t="s">
        <v>34</v>
      </c>
      <c r="I13" s="8" t="str">
        <f t="shared" ref="I13:I34" si="0">_xlfn.CONCAT(B13," ",E13,"-",F13,"-",G13," Ver. ",H13," de fecha 7/07/2025")</f>
        <v>FODA  GSI-DI-002 Ver. 00 de fecha 7/07/2025</v>
      </c>
      <c r="J13" s="49"/>
      <c r="K13" s="11" t="s">
        <v>31</v>
      </c>
      <c r="L13" s="8" t="s">
        <v>36</v>
      </c>
      <c r="M13" s="11" t="s">
        <v>37</v>
      </c>
      <c r="N13" s="8" t="s">
        <v>38</v>
      </c>
      <c r="O13" s="11" t="s">
        <v>39</v>
      </c>
      <c r="P13" s="8" t="s">
        <v>40</v>
      </c>
      <c r="Q13" s="8" t="s">
        <v>41</v>
      </c>
      <c r="R13" s="52" t="s">
        <v>394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96.75" customHeight="1" x14ac:dyDescent="0.2">
      <c r="A14" s="50">
        <v>3</v>
      </c>
      <c r="B14" s="129" t="s">
        <v>44</v>
      </c>
      <c r="C14" s="123"/>
      <c r="D14" s="124"/>
      <c r="E14" s="8" t="s">
        <v>458</v>
      </c>
      <c r="F14" s="8" t="s">
        <v>32</v>
      </c>
      <c r="G14" s="9" t="s">
        <v>45</v>
      </c>
      <c r="H14" s="10" t="s">
        <v>34</v>
      </c>
      <c r="I14" s="8" t="str">
        <f t="shared" si="0"/>
        <v>CONTEXTO DE LA ORGANIZACIÓN GSI-DI-003 Ver. 00 de fecha 7/07/2025</v>
      </c>
      <c r="J14" s="49"/>
      <c r="K14" s="11" t="s">
        <v>31</v>
      </c>
      <c r="L14" s="8" t="s">
        <v>36</v>
      </c>
      <c r="M14" s="11" t="s">
        <v>37</v>
      </c>
      <c r="N14" s="8" t="s">
        <v>38</v>
      </c>
      <c r="O14" s="11" t="s">
        <v>39</v>
      </c>
      <c r="P14" s="8" t="s">
        <v>40</v>
      </c>
      <c r="Q14" s="8" t="s">
        <v>41</v>
      </c>
      <c r="R14" s="52" t="s">
        <v>394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96.75" customHeight="1" x14ac:dyDescent="0.2">
      <c r="A15" s="50">
        <v>4</v>
      </c>
      <c r="B15" s="129" t="s">
        <v>46</v>
      </c>
      <c r="C15" s="123"/>
      <c r="D15" s="124"/>
      <c r="E15" s="8" t="s">
        <v>458</v>
      </c>
      <c r="F15" s="8" t="s">
        <v>32</v>
      </c>
      <c r="G15" s="9" t="s">
        <v>47</v>
      </c>
      <c r="H15" s="10" t="s">
        <v>34</v>
      </c>
      <c r="I15" s="8" t="str">
        <f t="shared" si="0"/>
        <v>MISION, VISIÓN Y VALORES GSI-DI-004 Ver. 00 de fecha 7/07/2025</v>
      </c>
      <c r="J15" s="49"/>
      <c r="K15" s="11" t="s">
        <v>31</v>
      </c>
      <c r="L15" s="8" t="s">
        <v>36</v>
      </c>
      <c r="M15" s="11" t="s">
        <v>37</v>
      </c>
      <c r="N15" s="8" t="s">
        <v>38</v>
      </c>
      <c r="O15" s="11" t="s">
        <v>39</v>
      </c>
      <c r="P15" s="8" t="s">
        <v>40</v>
      </c>
      <c r="Q15" s="8" t="s">
        <v>41</v>
      </c>
      <c r="R15" s="52" t="s">
        <v>394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96.75" customHeight="1" x14ac:dyDescent="0.2">
      <c r="A16" s="50">
        <v>5</v>
      </c>
      <c r="B16" s="122" t="s">
        <v>48</v>
      </c>
      <c r="C16" s="123"/>
      <c r="D16" s="124"/>
      <c r="E16" s="8" t="s">
        <v>458</v>
      </c>
      <c r="F16" s="8" t="s">
        <v>32</v>
      </c>
      <c r="G16" s="9" t="s">
        <v>49</v>
      </c>
      <c r="H16" s="10" t="s">
        <v>34</v>
      </c>
      <c r="I16" s="8" t="str">
        <f t="shared" si="0"/>
        <v>POLÍTICA DE SISTEMA INTEGRADO DE GESTIÓN GSI-DI-005 Ver. 00 de fecha 7/07/2025</v>
      </c>
      <c r="J16" s="49"/>
      <c r="K16" s="11" t="s">
        <v>31</v>
      </c>
      <c r="L16" s="8" t="s">
        <v>36</v>
      </c>
      <c r="M16" s="11" t="s">
        <v>37</v>
      </c>
      <c r="N16" s="8" t="s">
        <v>38</v>
      </c>
      <c r="O16" s="11" t="s">
        <v>39</v>
      </c>
      <c r="P16" s="8" t="s">
        <v>40</v>
      </c>
      <c r="Q16" s="8" t="s">
        <v>41</v>
      </c>
      <c r="R16" s="52" t="s">
        <v>394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96.75" customHeight="1" x14ac:dyDescent="0.2">
      <c r="A17" s="50">
        <v>6</v>
      </c>
      <c r="B17" s="129" t="s">
        <v>50</v>
      </c>
      <c r="C17" s="123"/>
      <c r="D17" s="124"/>
      <c r="E17" s="8" t="s">
        <v>458</v>
      </c>
      <c r="F17" s="8" t="s">
        <v>32</v>
      </c>
      <c r="G17" s="9" t="s">
        <v>51</v>
      </c>
      <c r="H17" s="10" t="s">
        <v>34</v>
      </c>
      <c r="I17" s="8" t="str">
        <f t="shared" si="0"/>
        <v>ALCANCE Y APLICABILIDAD GSI-DI-006 Ver. 00 de fecha 7/07/2025</v>
      </c>
      <c r="J17" s="49"/>
      <c r="K17" s="11" t="s">
        <v>31</v>
      </c>
      <c r="L17" s="8" t="s">
        <v>36</v>
      </c>
      <c r="M17" s="11" t="s">
        <v>37</v>
      </c>
      <c r="N17" s="8" t="s">
        <v>38</v>
      </c>
      <c r="O17" s="11" t="s">
        <v>39</v>
      </c>
      <c r="P17" s="8" t="s">
        <v>40</v>
      </c>
      <c r="Q17" s="8" t="s">
        <v>41</v>
      </c>
      <c r="R17" s="52" t="s">
        <v>394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 ht="96.75" customHeight="1" x14ac:dyDescent="0.2">
      <c r="A18" s="50">
        <v>7</v>
      </c>
      <c r="B18" s="129" t="s">
        <v>52</v>
      </c>
      <c r="C18" s="123"/>
      <c r="D18" s="124"/>
      <c r="E18" s="8" t="s">
        <v>458</v>
      </c>
      <c r="F18" s="8" t="s">
        <v>32</v>
      </c>
      <c r="G18" s="9" t="s">
        <v>53</v>
      </c>
      <c r="H18" s="10" t="s">
        <v>34</v>
      </c>
      <c r="I18" s="8" t="str">
        <f t="shared" si="0"/>
        <v>FICHA DE PROCESO GSI-DI-007 Ver. 00 de fecha 7/07/2025</v>
      </c>
      <c r="J18" s="49"/>
      <c r="K18" s="11" t="s">
        <v>31</v>
      </c>
      <c r="L18" s="8" t="s">
        <v>36</v>
      </c>
      <c r="M18" s="11" t="s">
        <v>37</v>
      </c>
      <c r="N18" s="8" t="s">
        <v>38</v>
      </c>
      <c r="O18" s="11" t="s">
        <v>39</v>
      </c>
      <c r="P18" s="8" t="s">
        <v>40</v>
      </c>
      <c r="Q18" s="8" t="s">
        <v>41</v>
      </c>
      <c r="R18" s="52" t="s">
        <v>394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96.75" customHeight="1" x14ac:dyDescent="0.2">
      <c r="A19" s="50">
        <v>8</v>
      </c>
      <c r="B19" s="129" t="s">
        <v>54</v>
      </c>
      <c r="C19" s="123"/>
      <c r="D19" s="124"/>
      <c r="E19" s="8" t="s">
        <v>458</v>
      </c>
      <c r="F19" s="8" t="s">
        <v>32</v>
      </c>
      <c r="G19" s="9" t="s">
        <v>55</v>
      </c>
      <c r="H19" s="10" t="s">
        <v>34</v>
      </c>
      <c r="I19" s="8" t="str">
        <f t="shared" si="0"/>
        <v>MAPA DE PROCESOS GSI-DI-008 Ver. 00 de fecha 7/07/2025</v>
      </c>
      <c r="J19" s="49"/>
      <c r="K19" s="11" t="s">
        <v>31</v>
      </c>
      <c r="L19" s="8" t="s">
        <v>36</v>
      </c>
      <c r="M19" s="11" t="s">
        <v>37</v>
      </c>
      <c r="N19" s="8" t="s">
        <v>38</v>
      </c>
      <c r="O19" s="11" t="s">
        <v>39</v>
      </c>
      <c r="P19" s="8" t="s">
        <v>40</v>
      </c>
      <c r="Q19" s="8" t="s">
        <v>41</v>
      </c>
      <c r="R19" s="52" t="s">
        <v>394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96.75" customHeight="1" x14ac:dyDescent="0.2">
      <c r="A20" s="50">
        <v>9</v>
      </c>
      <c r="B20" s="122" t="s">
        <v>56</v>
      </c>
      <c r="C20" s="123"/>
      <c r="D20" s="124"/>
      <c r="E20" s="8" t="s">
        <v>458</v>
      </c>
      <c r="F20" s="8" t="s">
        <v>32</v>
      </c>
      <c r="G20" s="9" t="s">
        <v>57</v>
      </c>
      <c r="H20" s="10" t="s">
        <v>34</v>
      </c>
      <c r="I20" s="8" t="str">
        <f t="shared" si="0"/>
        <v>PLAN DE RESPUESTA ANTE EMERGENCIAS OFICINA GSI-DI-009 Ver. 00 de fecha 7/07/2025</v>
      </c>
      <c r="J20" s="49"/>
      <c r="K20" s="11" t="s">
        <v>58</v>
      </c>
      <c r="L20" s="8" t="s">
        <v>59</v>
      </c>
      <c r="M20" s="11" t="s">
        <v>37</v>
      </c>
      <c r="N20" s="8" t="s">
        <v>38</v>
      </c>
      <c r="O20" s="11" t="s">
        <v>39</v>
      </c>
      <c r="P20" s="8" t="s">
        <v>40</v>
      </c>
      <c r="Q20" s="8" t="s">
        <v>41</v>
      </c>
      <c r="R20" s="52" t="s">
        <v>394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96.75" customHeight="1" x14ac:dyDescent="0.2">
      <c r="A21" s="50">
        <v>10</v>
      </c>
      <c r="B21" s="122" t="s">
        <v>60</v>
      </c>
      <c r="C21" s="123"/>
      <c r="D21" s="124"/>
      <c r="E21" s="8" t="s">
        <v>458</v>
      </c>
      <c r="F21" s="8" t="s">
        <v>32</v>
      </c>
      <c r="G21" s="9" t="s">
        <v>61</v>
      </c>
      <c r="H21" s="10" t="s">
        <v>34</v>
      </c>
      <c r="I21" s="8" t="str">
        <f t="shared" si="0"/>
        <v>PLAN DE RESPUESTA ANTE EMERGENCIAS OBRA GSI-DI-010 Ver. 00 de fecha 7/07/2025</v>
      </c>
      <c r="J21" s="49"/>
      <c r="K21" s="11" t="s">
        <v>58</v>
      </c>
      <c r="L21" s="8" t="s">
        <v>59</v>
      </c>
      <c r="M21" s="11" t="s">
        <v>37</v>
      </c>
      <c r="N21" s="8" t="s">
        <v>38</v>
      </c>
      <c r="O21" s="11" t="s">
        <v>39</v>
      </c>
      <c r="P21" s="8" t="s">
        <v>40</v>
      </c>
      <c r="Q21" s="8" t="s">
        <v>41</v>
      </c>
      <c r="R21" s="52" t="s">
        <v>394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 ht="96.75" customHeight="1" x14ac:dyDescent="0.2">
      <c r="A22" s="50">
        <v>11</v>
      </c>
      <c r="B22" s="122" t="s">
        <v>60</v>
      </c>
      <c r="C22" s="123"/>
      <c r="D22" s="124"/>
      <c r="E22" s="8" t="s">
        <v>458</v>
      </c>
      <c r="F22" s="8" t="s">
        <v>32</v>
      </c>
      <c r="G22" s="9" t="s">
        <v>61</v>
      </c>
      <c r="H22" s="10" t="s">
        <v>34</v>
      </c>
      <c r="I22" s="8" t="str">
        <f t="shared" si="0"/>
        <v>PLAN DE RESPUESTA ANTE EMERGENCIAS OBRA GSI-DI-010 Ver. 00 de fecha 7/07/2025</v>
      </c>
      <c r="J22" s="49"/>
      <c r="K22" s="11" t="s">
        <v>58</v>
      </c>
      <c r="L22" s="8" t="s">
        <v>59</v>
      </c>
      <c r="M22" s="11" t="s">
        <v>37</v>
      </c>
      <c r="N22" s="8" t="s">
        <v>38</v>
      </c>
      <c r="O22" s="11" t="s">
        <v>39</v>
      </c>
      <c r="P22" s="8" t="s">
        <v>40</v>
      </c>
      <c r="Q22" s="8" t="s">
        <v>41</v>
      </c>
      <c r="R22" s="52" t="s">
        <v>394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 ht="96.75" customHeight="1" x14ac:dyDescent="0.2">
      <c r="A23" s="50">
        <v>12</v>
      </c>
      <c r="B23" s="126" t="s">
        <v>62</v>
      </c>
      <c r="C23" s="127"/>
      <c r="D23" s="128"/>
      <c r="E23" s="8" t="s">
        <v>458</v>
      </c>
      <c r="F23" s="8" t="s">
        <v>32</v>
      </c>
      <c r="G23" s="9" t="s">
        <v>63</v>
      </c>
      <c r="H23" s="10" t="s">
        <v>34</v>
      </c>
      <c r="I23" s="8" t="str">
        <f t="shared" si="0"/>
        <v>CÓDIGO DE ÉTICA Y DE RESPONSABILIDAD SOCIAL GSI-DI-011 Ver. 00 de fecha 7/07/2025</v>
      </c>
      <c r="J23" s="49"/>
      <c r="K23" s="11" t="s">
        <v>58</v>
      </c>
      <c r="L23" s="8" t="s">
        <v>59</v>
      </c>
      <c r="M23" s="11" t="s">
        <v>37</v>
      </c>
      <c r="N23" s="8" t="s">
        <v>38</v>
      </c>
      <c r="O23" s="11" t="s">
        <v>39</v>
      </c>
      <c r="P23" s="8" t="s">
        <v>40</v>
      </c>
      <c r="Q23" s="8" t="s">
        <v>41</v>
      </c>
      <c r="R23" s="52" t="s">
        <v>394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 ht="96.75" customHeight="1" x14ac:dyDescent="0.2">
      <c r="A24" s="50">
        <v>13</v>
      </c>
      <c r="B24" s="122" t="s">
        <v>64</v>
      </c>
      <c r="C24" s="123"/>
      <c r="D24" s="124"/>
      <c r="E24" s="8" t="s">
        <v>458</v>
      </c>
      <c r="F24" s="8" t="s">
        <v>32</v>
      </c>
      <c r="G24" s="9" t="s">
        <v>33</v>
      </c>
      <c r="H24" s="10" t="s">
        <v>34</v>
      </c>
      <c r="I24" s="8" t="str">
        <f t="shared" si="0"/>
        <v>PLAN ANUAL DE SEGURIDAD Y SALUD EN EL TRABAJO GSI-DI-001 Ver. 00 de fecha 7/07/2025</v>
      </c>
      <c r="J24" s="49"/>
      <c r="K24" s="11" t="s">
        <v>58</v>
      </c>
      <c r="L24" s="8" t="s">
        <v>59</v>
      </c>
      <c r="M24" s="11" t="s">
        <v>65</v>
      </c>
      <c r="N24" s="8" t="s">
        <v>38</v>
      </c>
      <c r="O24" s="11" t="s">
        <v>39</v>
      </c>
      <c r="P24" s="8" t="s">
        <v>40</v>
      </c>
      <c r="Q24" s="8" t="s">
        <v>41</v>
      </c>
      <c r="R24" s="52" t="s">
        <v>394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 ht="96.75" customHeight="1" x14ac:dyDescent="0.2">
      <c r="A25" s="50">
        <v>14</v>
      </c>
      <c r="B25" s="122" t="s">
        <v>66</v>
      </c>
      <c r="C25" s="123"/>
      <c r="D25" s="124"/>
      <c r="E25" s="8" t="s">
        <v>458</v>
      </c>
      <c r="F25" s="8" t="s">
        <v>32</v>
      </c>
      <c r="G25" s="9" t="s">
        <v>43</v>
      </c>
      <c r="H25" s="10" t="s">
        <v>34</v>
      </c>
      <c r="I25" s="8" t="str">
        <f t="shared" si="0"/>
        <v>PLAN DE SEGURIDAD Y SALUD EN EL TRABAJO OBRA GSI-DI-002 Ver. 00 de fecha 7/07/2025</v>
      </c>
      <c r="J25" s="49"/>
      <c r="K25" s="11" t="s">
        <v>58</v>
      </c>
      <c r="L25" s="8" t="s">
        <v>59</v>
      </c>
      <c r="M25" s="11" t="s">
        <v>65</v>
      </c>
      <c r="N25" s="8" t="s">
        <v>38</v>
      </c>
      <c r="O25" s="11" t="s">
        <v>39</v>
      </c>
      <c r="P25" s="8" t="s">
        <v>40</v>
      </c>
      <c r="Q25" s="8" t="s">
        <v>41</v>
      </c>
      <c r="R25" s="52" t="s">
        <v>394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96.75" customHeight="1" x14ac:dyDescent="0.2">
      <c r="A26" s="50">
        <v>15</v>
      </c>
      <c r="B26" s="125" t="s">
        <v>67</v>
      </c>
      <c r="C26" s="123"/>
      <c r="D26" s="124"/>
      <c r="E26" s="8" t="s">
        <v>458</v>
      </c>
      <c r="F26" s="8" t="s">
        <v>32</v>
      </c>
      <c r="G26" s="9" t="s">
        <v>45</v>
      </c>
      <c r="H26" s="10" t="s">
        <v>34</v>
      </c>
      <c r="I26" s="8" t="str">
        <f t="shared" si="0"/>
        <v>PLAN PARA LA VIGILANCIA Y PREVENCION DEL COVID 19 GSI-DI-003 Ver. 00 de fecha 7/07/2025</v>
      </c>
      <c r="J26" s="49"/>
      <c r="K26" s="11" t="s">
        <v>58</v>
      </c>
      <c r="L26" s="8" t="s">
        <v>59</v>
      </c>
      <c r="M26" s="11" t="s">
        <v>65</v>
      </c>
      <c r="N26" s="8" t="s">
        <v>38</v>
      </c>
      <c r="O26" s="11" t="s">
        <v>39</v>
      </c>
      <c r="P26" s="8" t="s">
        <v>40</v>
      </c>
      <c r="Q26" s="8" t="s">
        <v>41</v>
      </c>
      <c r="R26" s="52" t="s">
        <v>394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 ht="96.75" customHeight="1" x14ac:dyDescent="0.2">
      <c r="A27" s="50">
        <v>16</v>
      </c>
      <c r="B27" s="122" t="s">
        <v>68</v>
      </c>
      <c r="C27" s="123"/>
      <c r="D27" s="124"/>
      <c r="E27" s="8" t="s">
        <v>458</v>
      </c>
      <c r="F27" s="8" t="s">
        <v>32</v>
      </c>
      <c r="G27" s="9" t="s">
        <v>33</v>
      </c>
      <c r="H27" s="10" t="s">
        <v>34</v>
      </c>
      <c r="I27" s="8" t="str">
        <f t="shared" si="0"/>
        <v>INSTRUCTIVO DE SATISFACCIÓN DEL CLIENTE GSI-DI-001 Ver. 00 de fecha 7/07/2025</v>
      </c>
      <c r="J27" s="49"/>
      <c r="K27" s="11" t="s">
        <v>69</v>
      </c>
      <c r="L27" s="8" t="s">
        <v>36</v>
      </c>
      <c r="M27" s="11" t="s">
        <v>37</v>
      </c>
      <c r="N27" s="8" t="s">
        <v>38</v>
      </c>
      <c r="O27" s="11" t="s">
        <v>39</v>
      </c>
      <c r="P27" s="8" t="s">
        <v>40</v>
      </c>
      <c r="Q27" s="8" t="s">
        <v>41</v>
      </c>
      <c r="R27" s="52" t="s">
        <v>394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 ht="96.75" customHeight="1" x14ac:dyDescent="0.2">
      <c r="A28" s="50">
        <v>17</v>
      </c>
      <c r="B28" s="122" t="s">
        <v>70</v>
      </c>
      <c r="C28" s="123"/>
      <c r="D28" s="124"/>
      <c r="E28" s="8" t="s">
        <v>458</v>
      </c>
      <c r="F28" s="8" t="s">
        <v>32</v>
      </c>
      <c r="G28" s="9" t="s">
        <v>43</v>
      </c>
      <c r="H28" s="10" t="s">
        <v>34</v>
      </c>
      <c r="I28" s="8" t="str">
        <f t="shared" si="0"/>
        <v>PLAN DE CALIDAD GSI-DI-002 Ver. 00 de fecha 7/07/2025</v>
      </c>
      <c r="J28" s="49"/>
      <c r="K28" s="11" t="s">
        <v>69</v>
      </c>
      <c r="L28" s="11" t="s">
        <v>71</v>
      </c>
      <c r="M28" s="11" t="s">
        <v>37</v>
      </c>
      <c r="N28" s="8" t="s">
        <v>38</v>
      </c>
      <c r="O28" s="11" t="s">
        <v>39</v>
      </c>
      <c r="P28" s="8" t="s">
        <v>40</v>
      </c>
      <c r="Q28" s="8" t="s">
        <v>41</v>
      </c>
      <c r="R28" s="52" t="s">
        <v>394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ht="96.75" customHeight="1" x14ac:dyDescent="0.2">
      <c r="A29" s="50">
        <v>18</v>
      </c>
      <c r="B29" s="122" t="s">
        <v>72</v>
      </c>
      <c r="C29" s="123"/>
      <c r="D29" s="124"/>
      <c r="E29" s="8" t="s">
        <v>458</v>
      </c>
      <c r="F29" s="8" t="s">
        <v>32</v>
      </c>
      <c r="G29" s="9" t="s">
        <v>33</v>
      </c>
      <c r="H29" s="10" t="s">
        <v>34</v>
      </c>
      <c r="I29" s="8" t="str">
        <f t="shared" si="0"/>
        <v>PLAN DE MANEJO AMBIENTAL GSI-DI-001 Ver. 00 de fecha 7/07/2025</v>
      </c>
      <c r="J29" s="49"/>
      <c r="K29" s="11" t="s">
        <v>74</v>
      </c>
      <c r="L29" s="8" t="s">
        <v>59</v>
      </c>
      <c r="M29" s="11" t="s">
        <v>75</v>
      </c>
      <c r="N29" s="8" t="s">
        <v>38</v>
      </c>
      <c r="O29" s="11" t="s">
        <v>39</v>
      </c>
      <c r="P29" s="8" t="s">
        <v>40</v>
      </c>
      <c r="Q29" s="8" t="s">
        <v>41</v>
      </c>
      <c r="R29" s="52" t="s">
        <v>394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 ht="96.75" customHeight="1" x14ac:dyDescent="0.2">
      <c r="A30" s="50">
        <v>19</v>
      </c>
      <c r="B30" s="122" t="s">
        <v>76</v>
      </c>
      <c r="C30" s="123"/>
      <c r="D30" s="124"/>
      <c r="E30" s="8" t="s">
        <v>458</v>
      </c>
      <c r="F30" s="8" t="s">
        <v>32</v>
      </c>
      <c r="G30" s="9" t="s">
        <v>43</v>
      </c>
      <c r="H30" s="10" t="s">
        <v>34</v>
      </c>
      <c r="I30" s="8" t="str">
        <f t="shared" si="0"/>
        <v>PLAN DE MANEJO DE RESIDUOS SÓLIDOS OFICINA GSI-DI-002 Ver. 00 de fecha 7/07/2025</v>
      </c>
      <c r="J30" s="49"/>
      <c r="K30" s="11" t="s">
        <v>74</v>
      </c>
      <c r="L30" s="8" t="s">
        <v>59</v>
      </c>
      <c r="M30" s="11" t="s">
        <v>75</v>
      </c>
      <c r="N30" s="8" t="s">
        <v>38</v>
      </c>
      <c r="O30" s="11" t="s">
        <v>39</v>
      </c>
      <c r="P30" s="8" t="s">
        <v>40</v>
      </c>
      <c r="Q30" s="8" t="s">
        <v>41</v>
      </c>
      <c r="R30" s="52" t="s">
        <v>394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 ht="96.75" customHeight="1" x14ac:dyDescent="0.2">
      <c r="A31" s="50">
        <v>20</v>
      </c>
      <c r="B31" s="122" t="s">
        <v>77</v>
      </c>
      <c r="C31" s="123"/>
      <c r="D31" s="124"/>
      <c r="E31" s="8" t="s">
        <v>458</v>
      </c>
      <c r="F31" s="8" t="s">
        <v>32</v>
      </c>
      <c r="G31" s="9" t="s">
        <v>45</v>
      </c>
      <c r="H31" s="10" t="s">
        <v>34</v>
      </c>
      <c r="I31" s="8" t="str">
        <f t="shared" si="0"/>
        <v>PLAN DE MANEJO DE RESIDUOS SÓLIDOS OBRA GSI-DI-003 Ver. 00 de fecha 7/07/2025</v>
      </c>
      <c r="J31" s="49"/>
      <c r="K31" s="11" t="s">
        <v>74</v>
      </c>
      <c r="L31" s="8" t="s">
        <v>59</v>
      </c>
      <c r="M31" s="11" t="s">
        <v>75</v>
      </c>
      <c r="N31" s="8" t="s">
        <v>38</v>
      </c>
      <c r="O31" s="11" t="s">
        <v>39</v>
      </c>
      <c r="P31" s="8" t="s">
        <v>40</v>
      </c>
      <c r="Q31" s="8" t="s">
        <v>41</v>
      </c>
      <c r="R31" s="52" t="s">
        <v>394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 ht="96.75" customHeight="1" x14ac:dyDescent="0.2">
      <c r="A32" s="50">
        <v>21</v>
      </c>
      <c r="B32" s="122" t="s">
        <v>78</v>
      </c>
      <c r="C32" s="123"/>
      <c r="D32" s="124"/>
      <c r="E32" s="8" t="s">
        <v>458</v>
      </c>
      <c r="F32" s="8" t="s">
        <v>32</v>
      </c>
      <c r="G32" s="9" t="s">
        <v>33</v>
      </c>
      <c r="H32" s="10" t="s">
        <v>34</v>
      </c>
      <c r="I32" s="8" t="str">
        <f t="shared" si="0"/>
        <v>MANUAL ANTISOBORNO GSI-DI-001 Ver. 00 de fecha 7/07/2025</v>
      </c>
      <c r="J32" s="49"/>
      <c r="K32" s="11" t="s">
        <v>79</v>
      </c>
      <c r="L32" s="11" t="s">
        <v>80</v>
      </c>
      <c r="M32" s="11" t="s">
        <v>37</v>
      </c>
      <c r="N32" s="8" t="s">
        <v>38</v>
      </c>
      <c r="O32" s="11" t="s">
        <v>39</v>
      </c>
      <c r="P32" s="8" t="s">
        <v>40</v>
      </c>
      <c r="Q32" s="8" t="s">
        <v>41</v>
      </c>
      <c r="R32" s="52" t="s">
        <v>394</v>
      </c>
      <c r="S32" s="1"/>
      <c r="T32" s="1"/>
      <c r="U32" s="1"/>
      <c r="V32" s="1"/>
      <c r="W32" s="1"/>
      <c r="X32" s="1"/>
      <c r="Y32" s="1"/>
      <c r="Z32" s="1"/>
      <c r="AA32" s="1"/>
    </row>
    <row r="33" spans="1:27" ht="96.75" customHeight="1" x14ac:dyDescent="0.2">
      <c r="A33" s="50">
        <v>22</v>
      </c>
      <c r="B33" s="122" t="s">
        <v>81</v>
      </c>
      <c r="C33" s="123"/>
      <c r="D33" s="124"/>
      <c r="E33" s="8" t="s">
        <v>458</v>
      </c>
      <c r="F33" s="8" t="s">
        <v>32</v>
      </c>
      <c r="G33" s="9" t="s">
        <v>43</v>
      </c>
      <c r="H33" s="10" t="s">
        <v>34</v>
      </c>
      <c r="I33" s="8" t="str">
        <f t="shared" si="0"/>
        <v>INSTRUCTIVO DE INVESTIGACIÓN DE DENUNCIAS GSI-DI-002 Ver. 00 de fecha 7/07/2025</v>
      </c>
      <c r="J33" s="49"/>
      <c r="K33" s="11" t="s">
        <v>79</v>
      </c>
      <c r="L33" s="11" t="s">
        <v>80</v>
      </c>
      <c r="M33" s="11" t="s">
        <v>37</v>
      </c>
      <c r="N33" s="8" t="s">
        <v>38</v>
      </c>
      <c r="O33" s="11" t="s">
        <v>39</v>
      </c>
      <c r="P33" s="8" t="s">
        <v>40</v>
      </c>
      <c r="Q33" s="8" t="s">
        <v>41</v>
      </c>
      <c r="R33" s="52" t="s">
        <v>394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 ht="96.75" customHeight="1" x14ac:dyDescent="0.2">
      <c r="A34" s="50">
        <v>23</v>
      </c>
      <c r="B34" s="122" t="s">
        <v>82</v>
      </c>
      <c r="C34" s="123"/>
      <c r="D34" s="124"/>
      <c r="E34" s="8" t="s">
        <v>458</v>
      </c>
      <c r="F34" s="8" t="s">
        <v>32</v>
      </c>
      <c r="G34" s="9" t="s">
        <v>45</v>
      </c>
      <c r="H34" s="10" t="s">
        <v>34</v>
      </c>
      <c r="I34" s="8" t="str">
        <f t="shared" si="0"/>
        <v>INSTRUCTIVO DE DEBIDA DILIGENCIA GSI-DI-003 Ver. 00 de fecha 7/07/2025</v>
      </c>
      <c r="J34" s="49"/>
      <c r="K34" s="11" t="s">
        <v>79</v>
      </c>
      <c r="L34" s="11" t="s">
        <v>80</v>
      </c>
      <c r="M34" s="11" t="s">
        <v>37</v>
      </c>
      <c r="N34" s="8" t="s">
        <v>38</v>
      </c>
      <c r="O34" s="11" t="s">
        <v>39</v>
      </c>
      <c r="P34" s="8" t="s">
        <v>40</v>
      </c>
      <c r="Q34" s="8" t="s">
        <v>41</v>
      </c>
      <c r="R34" s="52" t="s">
        <v>394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12"/>
      <c r="B35" s="1"/>
      <c r="C35" s="13"/>
      <c r="D35" s="14"/>
      <c r="E35" s="1"/>
      <c r="F35" s="1"/>
      <c r="G35" s="1"/>
      <c r="H35" s="1"/>
      <c r="I35" s="1"/>
      <c r="J35" s="1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12"/>
      <c r="B36" s="1"/>
      <c r="C36" s="13"/>
      <c r="D36" s="1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12"/>
      <c r="B37" s="1"/>
      <c r="C37" s="13"/>
      <c r="D37" s="1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7.75" customHeight="1" thickBot="1" x14ac:dyDescent="0.25">
      <c r="A38" s="157" t="s">
        <v>83</v>
      </c>
      <c r="B38" s="155"/>
      <c r="C38" s="155"/>
      <c r="D38" s="155"/>
      <c r="E38" s="155"/>
      <c r="F38" s="155"/>
      <c r="G38" s="155"/>
      <c r="H38" s="155"/>
      <c r="I38" s="155"/>
      <c r="J38" s="15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3.25" customHeight="1" thickBot="1" x14ac:dyDescent="0.25">
      <c r="A39" s="158" t="s">
        <v>84</v>
      </c>
      <c r="B39" s="155"/>
      <c r="C39" s="159"/>
      <c r="D39" s="160"/>
      <c r="E39" s="155"/>
      <c r="F39" s="155"/>
      <c r="G39" s="155"/>
      <c r="H39" s="155"/>
      <c r="I39" s="155"/>
      <c r="J39" s="15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1.75" customHeight="1" thickBot="1" x14ac:dyDescent="0.25">
      <c r="A40" s="158" t="s">
        <v>85</v>
      </c>
      <c r="B40" s="155"/>
      <c r="C40" s="159"/>
      <c r="D40" s="154"/>
      <c r="E40" s="155"/>
      <c r="F40" s="155"/>
      <c r="G40" s="155"/>
      <c r="H40" s="155"/>
      <c r="I40" s="155"/>
      <c r="J40" s="15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2.5" customHeight="1" thickBot="1" x14ac:dyDescent="0.25">
      <c r="A41" s="161" t="s">
        <v>86</v>
      </c>
      <c r="B41" s="162"/>
      <c r="C41" s="162"/>
      <c r="D41" s="163"/>
      <c r="E41" s="162"/>
      <c r="F41" s="162"/>
      <c r="G41" s="162"/>
      <c r="H41" s="162"/>
      <c r="I41" s="162"/>
      <c r="J41" s="16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93.25" customHeight="1" thickBot="1" x14ac:dyDescent="0.25">
      <c r="A42" s="165" t="s">
        <v>87</v>
      </c>
      <c r="B42" s="166"/>
      <c r="C42" s="166"/>
      <c r="D42" s="154"/>
      <c r="E42" s="155"/>
      <c r="F42" s="155"/>
      <c r="G42" s="155"/>
      <c r="H42" s="155"/>
      <c r="I42" s="155"/>
      <c r="J42" s="15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12"/>
      <c r="B43" s="1"/>
      <c r="C43" s="13"/>
      <c r="D43" s="1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12"/>
      <c r="B44" s="1"/>
      <c r="C44" s="13"/>
      <c r="D44" s="1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12"/>
      <c r="B45" s="1"/>
      <c r="C45" s="1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12"/>
      <c r="B46" s="1"/>
      <c r="C46" s="13"/>
      <c r="D46" s="1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12"/>
      <c r="B47" s="1"/>
      <c r="C47" s="13"/>
      <c r="D47" s="1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12"/>
      <c r="B48" s="1"/>
      <c r="C48" s="13"/>
      <c r="D48" s="1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12"/>
      <c r="B49" s="1"/>
      <c r="C49" s="13"/>
      <c r="D49" s="1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12"/>
      <c r="B50" s="1"/>
      <c r="C50" s="13"/>
      <c r="D50" s="1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12"/>
      <c r="B51" s="1"/>
      <c r="C51" s="13"/>
      <c r="D51" s="1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12"/>
      <c r="B52" s="1"/>
      <c r="C52" s="13"/>
      <c r="D52" s="1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12"/>
      <c r="B53" s="1"/>
      <c r="C53" s="13"/>
      <c r="D53" s="1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12"/>
      <c r="B54" s="1"/>
      <c r="C54" s="13"/>
      <c r="D54" s="1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12"/>
      <c r="B55" s="1"/>
      <c r="C55" s="13"/>
      <c r="D55" s="1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12"/>
      <c r="B56" s="1"/>
      <c r="C56" s="13"/>
      <c r="D56" s="1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12"/>
      <c r="B57" s="1"/>
      <c r="C57" s="13"/>
      <c r="D57" s="1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12"/>
      <c r="B58" s="1"/>
      <c r="C58" s="13"/>
      <c r="D58" s="1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12"/>
      <c r="B59" s="1"/>
      <c r="C59" s="13"/>
      <c r="D59" s="1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12"/>
      <c r="B60" s="1"/>
      <c r="C60" s="13"/>
      <c r="D60" s="1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12"/>
      <c r="B61" s="1"/>
      <c r="C61" s="13"/>
      <c r="D61" s="1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12"/>
      <c r="B62" s="1"/>
      <c r="C62" s="13"/>
      <c r="D62" s="1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12"/>
      <c r="B63" s="1"/>
      <c r="C63" s="13"/>
      <c r="D63" s="1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12"/>
      <c r="B64" s="1"/>
      <c r="C64" s="13"/>
      <c r="D64" s="1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12"/>
      <c r="B65" s="1"/>
      <c r="C65" s="13"/>
      <c r="D65" s="1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12"/>
      <c r="B66" s="1"/>
      <c r="C66" s="13"/>
      <c r="D66" s="1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12"/>
      <c r="B67" s="1"/>
      <c r="C67" s="13"/>
      <c r="D67" s="1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12"/>
      <c r="B68" s="1"/>
      <c r="C68" s="13"/>
      <c r="D68" s="1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12"/>
      <c r="B69" s="1"/>
      <c r="C69" s="13"/>
      <c r="D69" s="1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12"/>
      <c r="B70" s="1"/>
      <c r="C70" s="13"/>
      <c r="D70" s="1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12"/>
      <c r="B71" s="1"/>
      <c r="C71" s="13"/>
      <c r="D71" s="1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12"/>
      <c r="B72" s="1"/>
      <c r="C72" s="13"/>
      <c r="D72" s="1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12"/>
      <c r="B73" s="1"/>
      <c r="C73" s="13"/>
      <c r="D73" s="1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12"/>
      <c r="B74" s="1"/>
      <c r="C74" s="13"/>
      <c r="D74" s="1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12"/>
      <c r="B75" s="1"/>
      <c r="C75" s="13"/>
      <c r="D75" s="1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12"/>
      <c r="B76" s="1"/>
      <c r="C76" s="13"/>
      <c r="D76" s="1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12"/>
      <c r="B77" s="1"/>
      <c r="C77" s="13"/>
      <c r="D77" s="1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2"/>
      <c r="B78" s="1"/>
      <c r="C78" s="13"/>
      <c r="D78" s="1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12"/>
      <c r="B79" s="1"/>
      <c r="C79" s="13"/>
      <c r="D79" s="1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12"/>
      <c r="B80" s="1"/>
      <c r="C80" s="13"/>
      <c r="D80" s="1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12"/>
      <c r="B81" s="1"/>
      <c r="C81" s="13"/>
      <c r="D81" s="1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12"/>
      <c r="B82" s="1"/>
      <c r="C82" s="13"/>
      <c r="D82" s="1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12"/>
      <c r="B83" s="1"/>
      <c r="C83" s="13"/>
      <c r="D83" s="1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12"/>
      <c r="B84" s="1"/>
      <c r="C84" s="13"/>
      <c r="D84" s="1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2"/>
      <c r="B85" s="1"/>
      <c r="C85" s="13"/>
      <c r="D85" s="1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12"/>
      <c r="B86" s="1"/>
      <c r="C86" s="13"/>
      <c r="D86" s="1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12"/>
      <c r="B87" s="1"/>
      <c r="C87" s="13"/>
      <c r="D87" s="1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12"/>
      <c r="B88" s="1"/>
      <c r="C88" s="13"/>
      <c r="D88" s="1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12"/>
      <c r="B89" s="1"/>
      <c r="C89" s="13"/>
      <c r="D89" s="1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12"/>
      <c r="B90" s="1"/>
      <c r="C90" s="13"/>
      <c r="D90" s="1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12"/>
      <c r="B91" s="1"/>
      <c r="C91" s="13"/>
      <c r="D91" s="1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12"/>
      <c r="B92" s="1"/>
      <c r="C92" s="13"/>
      <c r="D92" s="1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12"/>
      <c r="B93" s="1"/>
      <c r="C93" s="13"/>
      <c r="D93" s="1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2"/>
      <c r="B94" s="1"/>
      <c r="C94" s="13"/>
      <c r="D94" s="1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12"/>
      <c r="B95" s="1"/>
      <c r="C95" s="13"/>
      <c r="D95" s="1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12"/>
      <c r="B96" s="1"/>
      <c r="C96" s="13"/>
      <c r="D96" s="1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12"/>
      <c r="B97" s="1"/>
      <c r="C97" s="13"/>
      <c r="D97" s="1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12"/>
      <c r="B98" s="1"/>
      <c r="C98" s="13"/>
      <c r="D98" s="1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12"/>
      <c r="B99" s="1"/>
      <c r="C99" s="13"/>
      <c r="D99" s="1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12"/>
      <c r="B100" s="1"/>
      <c r="C100" s="13"/>
      <c r="D100" s="1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12"/>
      <c r="B101" s="1"/>
      <c r="C101" s="13"/>
      <c r="D101" s="1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12"/>
      <c r="B102" s="1"/>
      <c r="C102" s="13"/>
      <c r="D102" s="1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12"/>
      <c r="B103" s="1"/>
      <c r="C103" s="13"/>
      <c r="D103" s="1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12"/>
      <c r="B104" s="1"/>
      <c r="C104" s="13"/>
      <c r="D104" s="1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2"/>
      <c r="B105" s="1"/>
      <c r="C105" s="13"/>
      <c r="D105" s="1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12"/>
      <c r="B106" s="1"/>
      <c r="C106" s="13"/>
      <c r="D106" s="1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12"/>
      <c r="B107" s="1"/>
      <c r="C107" s="13"/>
      <c r="D107" s="1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12"/>
      <c r="B108" s="1"/>
      <c r="C108" s="13"/>
      <c r="D108" s="1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12"/>
      <c r="B109" s="1"/>
      <c r="C109" s="13"/>
      <c r="D109" s="1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12"/>
      <c r="B110" s="1"/>
      <c r="C110" s="13"/>
      <c r="D110" s="1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12"/>
      <c r="B111" s="1"/>
      <c r="C111" s="13"/>
      <c r="D111" s="1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12"/>
      <c r="B112" s="1"/>
      <c r="C112" s="13"/>
      <c r="D112" s="1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12"/>
      <c r="B113" s="1"/>
      <c r="C113" s="13"/>
      <c r="D113" s="1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12"/>
      <c r="B114" s="1"/>
      <c r="C114" s="13"/>
      <c r="D114" s="1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12"/>
      <c r="B115" s="1"/>
      <c r="C115" s="13"/>
      <c r="D115" s="1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12"/>
      <c r="B116" s="1"/>
      <c r="C116" s="13"/>
      <c r="D116" s="1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2"/>
      <c r="B117" s="1"/>
      <c r="C117" s="13"/>
      <c r="D117" s="1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12"/>
      <c r="B118" s="1"/>
      <c r="C118" s="13"/>
      <c r="D118" s="1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12"/>
      <c r="B119" s="1"/>
      <c r="C119" s="13"/>
      <c r="D119" s="1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12"/>
      <c r="B120" s="1"/>
      <c r="C120" s="13"/>
      <c r="D120" s="1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12"/>
      <c r="B121" s="1"/>
      <c r="C121" s="13"/>
      <c r="D121" s="1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12"/>
      <c r="B122" s="1"/>
      <c r="C122" s="13"/>
      <c r="D122" s="1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12"/>
      <c r="B123" s="1"/>
      <c r="C123" s="13"/>
      <c r="D123" s="1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12"/>
      <c r="B124" s="1"/>
      <c r="C124" s="13"/>
      <c r="D124" s="1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12"/>
      <c r="B125" s="1"/>
      <c r="C125" s="13"/>
      <c r="D125" s="1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2"/>
      <c r="B126" s="1"/>
      <c r="C126" s="13"/>
      <c r="D126" s="1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12"/>
      <c r="B127" s="1"/>
      <c r="C127" s="13"/>
      <c r="D127" s="1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12"/>
      <c r="B128" s="1"/>
      <c r="C128" s="13"/>
      <c r="D128" s="1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12"/>
      <c r="B129" s="1"/>
      <c r="C129" s="13"/>
      <c r="D129" s="1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12"/>
      <c r="B130" s="1"/>
      <c r="C130" s="13"/>
      <c r="D130" s="1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12"/>
      <c r="B131" s="1"/>
      <c r="C131" s="13"/>
      <c r="D131" s="1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12"/>
      <c r="B132" s="1"/>
      <c r="C132" s="13"/>
      <c r="D132" s="1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12"/>
      <c r="B133" s="1"/>
      <c r="C133" s="13"/>
      <c r="D133" s="1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12"/>
      <c r="B134" s="1"/>
      <c r="C134" s="13"/>
      <c r="D134" s="1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12"/>
      <c r="B135" s="1"/>
      <c r="C135" s="13"/>
      <c r="D135" s="1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12"/>
      <c r="B136" s="1"/>
      <c r="C136" s="13"/>
      <c r="D136" s="1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12"/>
      <c r="B137" s="1"/>
      <c r="C137" s="13"/>
      <c r="D137" s="1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12"/>
      <c r="B138" s="1"/>
      <c r="C138" s="13"/>
      <c r="D138" s="1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12"/>
      <c r="B139" s="1"/>
      <c r="C139" s="13"/>
      <c r="D139" s="1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12"/>
      <c r="B140" s="1"/>
      <c r="C140" s="13"/>
      <c r="D140" s="1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12"/>
      <c r="B141" s="1"/>
      <c r="C141" s="13"/>
      <c r="D141" s="1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12"/>
      <c r="B142" s="1"/>
      <c r="C142" s="13"/>
      <c r="D142" s="1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12"/>
      <c r="B143" s="1"/>
      <c r="C143" s="13"/>
      <c r="D143" s="1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2"/>
      <c r="B144" s="1"/>
      <c r="C144" s="13"/>
      <c r="D144" s="1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12"/>
      <c r="B145" s="1"/>
      <c r="C145" s="13"/>
      <c r="D145" s="1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12"/>
      <c r="B146" s="1"/>
      <c r="C146" s="13"/>
      <c r="D146" s="1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12"/>
      <c r="B147" s="1"/>
      <c r="C147" s="13"/>
      <c r="D147" s="1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12"/>
      <c r="B148" s="1"/>
      <c r="C148" s="13"/>
      <c r="D148" s="1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12"/>
      <c r="B149" s="1"/>
      <c r="C149" s="13"/>
      <c r="D149" s="1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12"/>
      <c r="B150" s="1"/>
      <c r="C150" s="13"/>
      <c r="D150" s="1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12"/>
      <c r="B151" s="1"/>
      <c r="C151" s="13"/>
      <c r="D151" s="1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2"/>
      <c r="B152" s="1"/>
      <c r="C152" s="13"/>
      <c r="D152" s="1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2"/>
      <c r="B153" s="1"/>
      <c r="C153" s="13"/>
      <c r="D153" s="1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2"/>
      <c r="B154" s="1"/>
      <c r="C154" s="13"/>
      <c r="D154" s="1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2"/>
      <c r="B155" s="1"/>
      <c r="C155" s="13"/>
      <c r="D155" s="1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2"/>
      <c r="B156" s="1"/>
      <c r="C156" s="13"/>
      <c r="D156" s="1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2"/>
      <c r="B157" s="1"/>
      <c r="C157" s="13"/>
      <c r="D157" s="1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2"/>
      <c r="B158" s="1"/>
      <c r="C158" s="13"/>
      <c r="D158" s="1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2"/>
      <c r="B159" s="1"/>
      <c r="C159" s="13"/>
      <c r="D159" s="1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2"/>
      <c r="B160" s="1"/>
      <c r="C160" s="13"/>
      <c r="D160" s="1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2"/>
      <c r="B161" s="1"/>
      <c r="C161" s="13"/>
      <c r="D161" s="1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2"/>
      <c r="B162" s="1"/>
      <c r="C162" s="13"/>
      <c r="D162" s="1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2"/>
      <c r="B163" s="1"/>
      <c r="C163" s="13"/>
      <c r="D163" s="1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2"/>
      <c r="B164" s="1"/>
      <c r="C164" s="13"/>
      <c r="D164" s="1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2"/>
      <c r="B165" s="1"/>
      <c r="C165" s="13"/>
      <c r="D165" s="1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2"/>
      <c r="B166" s="1"/>
      <c r="C166" s="13"/>
      <c r="D166" s="1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2"/>
      <c r="B167" s="1"/>
      <c r="C167" s="13"/>
      <c r="D167" s="1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2"/>
      <c r="B168" s="1"/>
      <c r="C168" s="13"/>
      <c r="D168" s="1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2"/>
      <c r="B169" s="1"/>
      <c r="C169" s="13"/>
      <c r="D169" s="1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2"/>
      <c r="B170" s="1"/>
      <c r="C170" s="13"/>
      <c r="D170" s="1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2"/>
      <c r="B171" s="1"/>
      <c r="C171" s="13"/>
      <c r="D171" s="1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2"/>
      <c r="B172" s="1"/>
      <c r="C172" s="13"/>
      <c r="D172" s="1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2"/>
      <c r="B173" s="1"/>
      <c r="C173" s="13"/>
      <c r="D173" s="1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2"/>
      <c r="B174" s="1"/>
      <c r="C174" s="13"/>
      <c r="D174" s="1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2"/>
      <c r="B175" s="1"/>
      <c r="C175" s="13"/>
      <c r="D175" s="1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2"/>
      <c r="B176" s="1"/>
      <c r="C176" s="13"/>
      <c r="D176" s="1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2"/>
      <c r="B177" s="1"/>
      <c r="C177" s="13"/>
      <c r="D177" s="1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2"/>
      <c r="B178" s="1"/>
      <c r="C178" s="13"/>
      <c r="D178" s="1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2"/>
      <c r="B179" s="1"/>
      <c r="C179" s="13"/>
      <c r="D179" s="1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2"/>
      <c r="B180" s="1"/>
      <c r="C180" s="13"/>
      <c r="D180" s="1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2"/>
      <c r="B181" s="1"/>
      <c r="C181" s="13"/>
      <c r="D181" s="1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2"/>
      <c r="B182" s="1"/>
      <c r="C182" s="13"/>
      <c r="D182" s="1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2"/>
      <c r="B183" s="1"/>
      <c r="C183" s="13"/>
      <c r="D183" s="1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2"/>
      <c r="B184" s="1"/>
      <c r="C184" s="13"/>
      <c r="D184" s="1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2"/>
      <c r="B185" s="1"/>
      <c r="C185" s="13"/>
      <c r="D185" s="1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2"/>
      <c r="B186" s="1"/>
      <c r="C186" s="13"/>
      <c r="D186" s="1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2"/>
      <c r="B187" s="1"/>
      <c r="C187" s="13"/>
      <c r="D187" s="1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2"/>
      <c r="B188" s="1"/>
      <c r="C188" s="13"/>
      <c r="D188" s="1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2"/>
      <c r="B189" s="1"/>
      <c r="C189" s="13"/>
      <c r="D189" s="1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2"/>
      <c r="B190" s="1"/>
      <c r="C190" s="13"/>
      <c r="D190" s="1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2"/>
      <c r="B191" s="1"/>
      <c r="C191" s="13"/>
      <c r="D191" s="1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2"/>
      <c r="B192" s="1"/>
      <c r="C192" s="13"/>
      <c r="D192" s="1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2"/>
      <c r="B193" s="1"/>
      <c r="C193" s="13"/>
      <c r="D193" s="1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2"/>
      <c r="B194" s="1"/>
      <c r="C194" s="13"/>
      <c r="D194" s="1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2"/>
      <c r="B195" s="1"/>
      <c r="C195" s="13"/>
      <c r="D195" s="1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2"/>
      <c r="B196" s="1"/>
      <c r="C196" s="13"/>
      <c r="D196" s="1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2"/>
      <c r="B197" s="1"/>
      <c r="C197" s="13"/>
      <c r="D197" s="1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2"/>
      <c r="B198" s="1"/>
      <c r="C198" s="13"/>
      <c r="D198" s="1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2"/>
      <c r="B199" s="1"/>
      <c r="C199" s="13"/>
      <c r="D199" s="1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2"/>
      <c r="B200" s="1"/>
      <c r="C200" s="13"/>
      <c r="D200" s="1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2"/>
      <c r="B201" s="1"/>
      <c r="C201" s="13"/>
      <c r="D201" s="1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2"/>
      <c r="B202" s="1"/>
      <c r="C202" s="13"/>
      <c r="D202" s="1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2"/>
      <c r="B203" s="1"/>
      <c r="C203" s="13"/>
      <c r="D203" s="1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2"/>
      <c r="B204" s="1"/>
      <c r="C204" s="13"/>
      <c r="D204" s="1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2"/>
      <c r="B205" s="1"/>
      <c r="C205" s="13"/>
      <c r="D205" s="1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2"/>
      <c r="B206" s="1"/>
      <c r="C206" s="13"/>
      <c r="D206" s="1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2"/>
      <c r="B207" s="1"/>
      <c r="C207" s="13"/>
      <c r="D207" s="1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2"/>
      <c r="B208" s="1"/>
      <c r="C208" s="13"/>
      <c r="D208" s="1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2"/>
      <c r="B209" s="1"/>
      <c r="C209" s="13"/>
      <c r="D209" s="1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2"/>
      <c r="B210" s="1"/>
      <c r="C210" s="13"/>
      <c r="D210" s="1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2"/>
      <c r="B211" s="1"/>
      <c r="C211" s="13"/>
      <c r="D211" s="1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2"/>
      <c r="B212" s="1"/>
      <c r="C212" s="13"/>
      <c r="D212" s="1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2"/>
      <c r="B213" s="1"/>
      <c r="C213" s="13"/>
      <c r="D213" s="1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2"/>
      <c r="B214" s="1"/>
      <c r="C214" s="13"/>
      <c r="D214" s="1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2"/>
      <c r="B215" s="1"/>
      <c r="C215" s="13"/>
      <c r="D215" s="1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2"/>
      <c r="B216" s="1"/>
      <c r="C216" s="13"/>
      <c r="D216" s="1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2"/>
      <c r="B217" s="1"/>
      <c r="C217" s="13"/>
      <c r="D217" s="1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2"/>
      <c r="B218" s="1"/>
      <c r="C218" s="13"/>
      <c r="D218" s="1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2"/>
      <c r="B219" s="1"/>
      <c r="C219" s="13"/>
      <c r="D219" s="1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2"/>
      <c r="B220" s="1"/>
      <c r="C220" s="13"/>
      <c r="D220" s="1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2"/>
      <c r="B221" s="1"/>
      <c r="C221" s="13"/>
      <c r="D221" s="1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2"/>
      <c r="B222" s="1"/>
      <c r="C222" s="13"/>
      <c r="D222" s="1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2"/>
      <c r="B223" s="1"/>
      <c r="C223" s="13"/>
      <c r="D223" s="1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2"/>
      <c r="B224" s="1"/>
      <c r="C224" s="13"/>
      <c r="D224" s="1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2"/>
      <c r="B225" s="1"/>
      <c r="C225" s="13"/>
      <c r="D225" s="1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2"/>
      <c r="B226" s="1"/>
      <c r="C226" s="13"/>
      <c r="D226" s="1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2"/>
      <c r="B227" s="1"/>
      <c r="C227" s="13"/>
      <c r="D227" s="1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2"/>
      <c r="B228" s="1"/>
      <c r="C228" s="13"/>
      <c r="D228" s="1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2"/>
      <c r="B229" s="1"/>
      <c r="C229" s="13"/>
      <c r="D229" s="1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2"/>
      <c r="B230" s="1"/>
      <c r="C230" s="13"/>
      <c r="D230" s="1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2"/>
      <c r="B231" s="1"/>
      <c r="C231" s="13"/>
      <c r="D231" s="1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2"/>
      <c r="B232" s="1"/>
      <c r="C232" s="13"/>
      <c r="D232" s="1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2"/>
      <c r="B233" s="1"/>
      <c r="C233" s="13"/>
      <c r="D233" s="1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2"/>
      <c r="B234" s="1"/>
      <c r="C234" s="13"/>
      <c r="D234" s="1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2"/>
      <c r="B235" s="1"/>
      <c r="C235" s="13"/>
      <c r="D235" s="1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2"/>
      <c r="B236" s="1"/>
      <c r="C236" s="13"/>
      <c r="D236" s="1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2"/>
      <c r="B237" s="1"/>
      <c r="C237" s="13"/>
      <c r="D237" s="1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2"/>
      <c r="B238" s="1"/>
      <c r="C238" s="13"/>
      <c r="D238" s="1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2"/>
      <c r="B239" s="1"/>
      <c r="C239" s="13"/>
      <c r="D239" s="1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2"/>
      <c r="B240" s="1"/>
      <c r="C240" s="13"/>
      <c r="D240" s="1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2"/>
      <c r="B241" s="1"/>
      <c r="C241" s="13"/>
      <c r="D241" s="1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2"/>
      <c r="B242" s="1"/>
      <c r="C242" s="13"/>
      <c r="D242" s="1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2"/>
      <c r="B243" s="1"/>
      <c r="C243" s="13"/>
      <c r="D243" s="1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2"/>
      <c r="B244" s="1"/>
      <c r="C244" s="13"/>
      <c r="D244" s="1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2"/>
      <c r="B245" s="1"/>
      <c r="C245" s="13"/>
      <c r="D245" s="1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2"/>
      <c r="B246" s="1"/>
      <c r="C246" s="13"/>
      <c r="D246" s="1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2"/>
      <c r="B247" s="1"/>
      <c r="C247" s="13"/>
      <c r="D247" s="1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2"/>
      <c r="B248" s="1"/>
      <c r="C248" s="13"/>
      <c r="D248" s="1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2"/>
      <c r="B249" s="1"/>
      <c r="C249" s="13"/>
      <c r="D249" s="1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2"/>
      <c r="B250" s="1"/>
      <c r="C250" s="13"/>
      <c r="D250" s="1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2"/>
      <c r="B251" s="1"/>
      <c r="C251" s="13"/>
      <c r="D251" s="1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2"/>
      <c r="B252" s="1"/>
      <c r="C252" s="13"/>
      <c r="D252" s="1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2"/>
      <c r="B253" s="1"/>
      <c r="C253" s="13"/>
      <c r="D253" s="1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2"/>
      <c r="B254" s="1"/>
      <c r="C254" s="13"/>
      <c r="D254" s="1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2"/>
      <c r="B255" s="1"/>
      <c r="C255" s="13"/>
      <c r="D255" s="1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2"/>
      <c r="B256" s="1"/>
      <c r="C256" s="13"/>
      <c r="D256" s="1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2"/>
      <c r="B257" s="1"/>
      <c r="C257" s="13"/>
      <c r="D257" s="1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2"/>
      <c r="B258" s="1"/>
      <c r="C258" s="13"/>
      <c r="D258" s="1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2"/>
      <c r="B259" s="1"/>
      <c r="C259" s="13"/>
      <c r="D259" s="1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2"/>
      <c r="B260" s="1"/>
      <c r="C260" s="13"/>
      <c r="D260" s="1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2"/>
      <c r="B261" s="1"/>
      <c r="C261" s="13"/>
      <c r="D261" s="1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2"/>
      <c r="B262" s="1"/>
      <c r="C262" s="13"/>
      <c r="D262" s="1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2"/>
      <c r="B263" s="1"/>
      <c r="C263" s="13"/>
      <c r="D263" s="1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2"/>
      <c r="B264" s="1"/>
      <c r="C264" s="13"/>
      <c r="D264" s="1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2"/>
      <c r="B265" s="1"/>
      <c r="C265" s="13"/>
      <c r="D265" s="1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2"/>
      <c r="B266" s="1"/>
      <c r="C266" s="13"/>
      <c r="D266" s="1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2"/>
      <c r="B267" s="1"/>
      <c r="C267" s="13"/>
      <c r="D267" s="1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2"/>
      <c r="B268" s="1"/>
      <c r="C268" s="13"/>
      <c r="D268" s="1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2"/>
      <c r="B269" s="1"/>
      <c r="C269" s="13"/>
      <c r="D269" s="1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2"/>
      <c r="B270" s="1"/>
      <c r="C270" s="13"/>
      <c r="D270" s="1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2"/>
      <c r="B271" s="1"/>
      <c r="C271" s="13"/>
      <c r="D271" s="1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2"/>
      <c r="B272" s="1"/>
      <c r="C272" s="13"/>
      <c r="D272" s="1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2"/>
      <c r="B273" s="1"/>
      <c r="C273" s="13"/>
      <c r="D273" s="1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2"/>
      <c r="B274" s="1"/>
      <c r="C274" s="13"/>
      <c r="D274" s="1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2"/>
      <c r="B275" s="1"/>
      <c r="C275" s="13"/>
      <c r="D275" s="1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2"/>
      <c r="B276" s="1"/>
      <c r="C276" s="13"/>
      <c r="D276" s="1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2"/>
      <c r="B277" s="1"/>
      <c r="C277" s="13"/>
      <c r="D277" s="1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2"/>
      <c r="B278" s="1"/>
      <c r="C278" s="13"/>
      <c r="D278" s="1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2"/>
      <c r="B279" s="1"/>
      <c r="C279" s="13"/>
      <c r="D279" s="1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2"/>
      <c r="B280" s="1"/>
      <c r="C280" s="13"/>
      <c r="D280" s="1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2"/>
      <c r="B281" s="1"/>
      <c r="C281" s="13"/>
      <c r="D281" s="1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2"/>
      <c r="B282" s="1"/>
      <c r="C282" s="13"/>
      <c r="D282" s="1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2"/>
      <c r="B283" s="1"/>
      <c r="C283" s="13"/>
      <c r="D283" s="1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2"/>
      <c r="B284" s="1"/>
      <c r="C284" s="13"/>
      <c r="D284" s="1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2"/>
      <c r="B285" s="1"/>
      <c r="C285" s="13"/>
      <c r="D285" s="1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2"/>
      <c r="B286" s="1"/>
      <c r="C286" s="13"/>
      <c r="D286" s="1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2"/>
      <c r="B287" s="1"/>
      <c r="C287" s="13"/>
      <c r="D287" s="1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2"/>
      <c r="B288" s="1"/>
      <c r="C288" s="13"/>
      <c r="D288" s="1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2"/>
      <c r="B289" s="1"/>
      <c r="C289" s="13"/>
      <c r="D289" s="1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2"/>
      <c r="B290" s="1"/>
      <c r="C290" s="13"/>
      <c r="D290" s="1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2"/>
      <c r="B291" s="1"/>
      <c r="C291" s="13"/>
      <c r="D291" s="1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2"/>
      <c r="B292" s="1"/>
      <c r="C292" s="13"/>
      <c r="D292" s="1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2"/>
      <c r="B293" s="1"/>
      <c r="C293" s="13"/>
      <c r="D293" s="1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2"/>
      <c r="B294" s="1"/>
      <c r="C294" s="13"/>
      <c r="D294" s="1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2"/>
      <c r="B295" s="1"/>
      <c r="C295" s="13"/>
      <c r="D295" s="1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2"/>
      <c r="B296" s="1"/>
      <c r="C296" s="13"/>
      <c r="D296" s="1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2"/>
      <c r="B297" s="1"/>
      <c r="C297" s="13"/>
      <c r="D297" s="1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2"/>
      <c r="B298" s="1"/>
      <c r="C298" s="13"/>
      <c r="D298" s="1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2"/>
      <c r="B299" s="1"/>
      <c r="C299" s="13"/>
      <c r="D299" s="1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2"/>
      <c r="B300" s="1"/>
      <c r="C300" s="13"/>
      <c r="D300" s="1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2"/>
      <c r="B301" s="1"/>
      <c r="C301" s="13"/>
      <c r="D301" s="1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2"/>
      <c r="B302" s="1"/>
      <c r="C302" s="13"/>
      <c r="D302" s="1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2"/>
      <c r="B303" s="1"/>
      <c r="C303" s="13"/>
      <c r="D303" s="1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2"/>
      <c r="B304" s="1"/>
      <c r="C304" s="13"/>
      <c r="D304" s="1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2"/>
      <c r="B305" s="1"/>
      <c r="C305" s="13"/>
      <c r="D305" s="1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2"/>
      <c r="B306" s="1"/>
      <c r="C306" s="13"/>
      <c r="D306" s="1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2"/>
      <c r="B307" s="1"/>
      <c r="C307" s="13"/>
      <c r="D307" s="1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2"/>
      <c r="B308" s="1"/>
      <c r="C308" s="13"/>
      <c r="D308" s="1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2"/>
      <c r="B309" s="1"/>
      <c r="C309" s="13"/>
      <c r="D309" s="1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2"/>
      <c r="B310" s="1"/>
      <c r="C310" s="13"/>
      <c r="D310" s="1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2"/>
      <c r="B311" s="1"/>
      <c r="C311" s="13"/>
      <c r="D311" s="1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2"/>
      <c r="B312" s="1"/>
      <c r="C312" s="13"/>
      <c r="D312" s="1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2"/>
      <c r="B313" s="1"/>
      <c r="C313" s="13"/>
      <c r="D313" s="1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2"/>
      <c r="B314" s="1"/>
      <c r="C314" s="13"/>
      <c r="D314" s="1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2"/>
      <c r="B315" s="1"/>
      <c r="C315" s="13"/>
      <c r="D315" s="1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2"/>
      <c r="B316" s="1"/>
      <c r="C316" s="13"/>
      <c r="D316" s="1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2"/>
      <c r="B317" s="1"/>
      <c r="C317" s="13"/>
      <c r="D317" s="1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2"/>
      <c r="B318" s="1"/>
      <c r="C318" s="13"/>
      <c r="D318" s="1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2"/>
      <c r="B319" s="1"/>
      <c r="C319" s="13"/>
      <c r="D319" s="1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2"/>
      <c r="B320" s="1"/>
      <c r="C320" s="13"/>
      <c r="D320" s="1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2"/>
      <c r="B321" s="1"/>
      <c r="C321" s="13"/>
      <c r="D321" s="1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2"/>
      <c r="B322" s="1"/>
      <c r="C322" s="13"/>
      <c r="D322" s="1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2"/>
      <c r="B323" s="1"/>
      <c r="C323" s="13"/>
      <c r="D323" s="1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2"/>
      <c r="B324" s="1"/>
      <c r="C324" s="13"/>
      <c r="D324" s="1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2"/>
      <c r="B325" s="1"/>
      <c r="C325" s="13"/>
      <c r="D325" s="1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2"/>
      <c r="B326" s="1"/>
      <c r="C326" s="13"/>
      <c r="D326" s="1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2"/>
      <c r="B327" s="1"/>
      <c r="C327" s="13"/>
      <c r="D327" s="1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2"/>
      <c r="B328" s="1"/>
      <c r="C328" s="13"/>
      <c r="D328" s="1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2"/>
      <c r="B329" s="1"/>
      <c r="C329" s="13"/>
      <c r="D329" s="1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2"/>
      <c r="B330" s="1"/>
      <c r="C330" s="13"/>
      <c r="D330" s="1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2"/>
      <c r="B331" s="1"/>
      <c r="C331" s="13"/>
      <c r="D331" s="1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2"/>
      <c r="B332" s="1"/>
      <c r="C332" s="13"/>
      <c r="D332" s="1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2"/>
      <c r="B333" s="1"/>
      <c r="C333" s="13"/>
      <c r="D333" s="1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2"/>
      <c r="B334" s="1"/>
      <c r="C334" s="13"/>
      <c r="D334" s="1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2"/>
      <c r="B335" s="1"/>
      <c r="C335" s="13"/>
      <c r="D335" s="1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2"/>
      <c r="B336" s="1"/>
      <c r="C336" s="13"/>
      <c r="D336" s="1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2"/>
      <c r="B337" s="1"/>
      <c r="C337" s="13"/>
      <c r="D337" s="1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2"/>
      <c r="B338" s="1"/>
      <c r="C338" s="13"/>
      <c r="D338" s="1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2"/>
      <c r="B339" s="1"/>
      <c r="C339" s="13"/>
      <c r="D339" s="1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2"/>
      <c r="B340" s="1"/>
      <c r="C340" s="13"/>
      <c r="D340" s="1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2"/>
      <c r="B341" s="1"/>
      <c r="C341" s="13"/>
      <c r="D341" s="1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2"/>
      <c r="B342" s="1"/>
      <c r="C342" s="13"/>
      <c r="D342" s="1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2"/>
      <c r="B343" s="1"/>
      <c r="C343" s="13"/>
      <c r="D343" s="1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2"/>
      <c r="B344" s="1"/>
      <c r="C344" s="13"/>
      <c r="D344" s="1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2"/>
      <c r="B345" s="1"/>
      <c r="C345" s="13"/>
      <c r="D345" s="1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2"/>
      <c r="B346" s="1"/>
      <c r="C346" s="13"/>
      <c r="D346" s="1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2"/>
      <c r="B347" s="1"/>
      <c r="C347" s="13"/>
      <c r="D347" s="1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2"/>
      <c r="B348" s="1"/>
      <c r="C348" s="13"/>
      <c r="D348" s="1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2"/>
      <c r="B349" s="1"/>
      <c r="C349" s="13"/>
      <c r="D349" s="1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2"/>
      <c r="B350" s="1"/>
      <c r="C350" s="13"/>
      <c r="D350" s="1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2"/>
      <c r="B351" s="1"/>
      <c r="C351" s="13"/>
      <c r="D351" s="1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2"/>
      <c r="B352" s="1"/>
      <c r="C352" s="13"/>
      <c r="D352" s="1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2"/>
      <c r="B353" s="1"/>
      <c r="C353" s="13"/>
      <c r="D353" s="1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2"/>
      <c r="B354" s="1"/>
      <c r="C354" s="13"/>
      <c r="D354" s="1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2"/>
      <c r="B355" s="1"/>
      <c r="C355" s="13"/>
      <c r="D355" s="1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2"/>
      <c r="B356" s="1"/>
      <c r="C356" s="13"/>
      <c r="D356" s="1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2"/>
      <c r="B357" s="1"/>
      <c r="C357" s="13"/>
      <c r="D357" s="1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2"/>
      <c r="B358" s="1"/>
      <c r="C358" s="13"/>
      <c r="D358" s="1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2"/>
      <c r="B359" s="1"/>
      <c r="C359" s="13"/>
      <c r="D359" s="1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2"/>
      <c r="B360" s="1"/>
      <c r="C360" s="13"/>
      <c r="D360" s="1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2"/>
      <c r="B361" s="1"/>
      <c r="C361" s="13"/>
      <c r="D361" s="1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2"/>
      <c r="B362" s="1"/>
      <c r="C362" s="13"/>
      <c r="D362" s="1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2"/>
      <c r="B363" s="1"/>
      <c r="C363" s="13"/>
      <c r="D363" s="1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2"/>
      <c r="B364" s="1"/>
      <c r="C364" s="13"/>
      <c r="D364" s="1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2"/>
      <c r="B365" s="1"/>
      <c r="C365" s="13"/>
      <c r="D365" s="1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2"/>
      <c r="B366" s="1"/>
      <c r="C366" s="13"/>
      <c r="D366" s="1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2"/>
      <c r="B367" s="1"/>
      <c r="C367" s="13"/>
      <c r="D367" s="1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2"/>
      <c r="B368" s="1"/>
      <c r="C368" s="13"/>
      <c r="D368" s="1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2"/>
      <c r="B369" s="1"/>
      <c r="C369" s="13"/>
      <c r="D369" s="1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2"/>
      <c r="B370" s="1"/>
      <c r="C370" s="13"/>
      <c r="D370" s="1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2"/>
      <c r="B371" s="1"/>
      <c r="C371" s="13"/>
      <c r="D371" s="1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2"/>
      <c r="B372" s="1"/>
      <c r="C372" s="13"/>
      <c r="D372" s="1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2"/>
      <c r="B373" s="1"/>
      <c r="C373" s="13"/>
      <c r="D373" s="1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2"/>
      <c r="B374" s="1"/>
      <c r="C374" s="13"/>
      <c r="D374" s="1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2"/>
      <c r="B375" s="1"/>
      <c r="C375" s="13"/>
      <c r="D375" s="1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2"/>
      <c r="B376" s="1"/>
      <c r="C376" s="13"/>
      <c r="D376" s="1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2"/>
      <c r="B377" s="1"/>
      <c r="C377" s="13"/>
      <c r="D377" s="1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2"/>
      <c r="B378" s="1"/>
      <c r="C378" s="13"/>
      <c r="D378" s="1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2"/>
      <c r="B379" s="1"/>
      <c r="C379" s="13"/>
      <c r="D379" s="1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2"/>
      <c r="B380" s="1"/>
      <c r="C380" s="13"/>
      <c r="D380" s="1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2"/>
      <c r="B381" s="1"/>
      <c r="C381" s="13"/>
      <c r="D381" s="1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2"/>
      <c r="B382" s="1"/>
      <c r="C382" s="13"/>
      <c r="D382" s="1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2"/>
      <c r="B383" s="1"/>
      <c r="C383" s="13"/>
      <c r="D383" s="1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2"/>
      <c r="B384" s="1"/>
      <c r="C384" s="13"/>
      <c r="D384" s="1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2"/>
      <c r="B385" s="1"/>
      <c r="C385" s="13"/>
      <c r="D385" s="1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2"/>
      <c r="B386" s="1"/>
      <c r="C386" s="13"/>
      <c r="D386" s="1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2"/>
      <c r="B387" s="1"/>
      <c r="C387" s="13"/>
      <c r="D387" s="1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2"/>
      <c r="B388" s="1"/>
      <c r="C388" s="13"/>
      <c r="D388" s="1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2"/>
      <c r="B389" s="1"/>
      <c r="C389" s="13"/>
      <c r="D389" s="1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2"/>
      <c r="B390" s="1"/>
      <c r="C390" s="13"/>
      <c r="D390" s="1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2"/>
      <c r="B391" s="1"/>
      <c r="C391" s="13"/>
      <c r="D391" s="1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2"/>
      <c r="B392" s="1"/>
      <c r="C392" s="13"/>
      <c r="D392" s="1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2"/>
      <c r="B393" s="1"/>
      <c r="C393" s="13"/>
      <c r="D393" s="1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2"/>
      <c r="B394" s="1"/>
      <c r="C394" s="13"/>
      <c r="D394" s="1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2"/>
      <c r="B395" s="1"/>
      <c r="C395" s="13"/>
      <c r="D395" s="1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2"/>
      <c r="B396" s="1"/>
      <c r="C396" s="13"/>
      <c r="D396" s="1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2"/>
      <c r="B397" s="1"/>
      <c r="C397" s="13"/>
      <c r="D397" s="1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2"/>
      <c r="B398" s="1"/>
      <c r="C398" s="13"/>
      <c r="D398" s="1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2"/>
      <c r="B399" s="1"/>
      <c r="C399" s="13"/>
      <c r="D399" s="1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2"/>
      <c r="B400" s="1"/>
      <c r="C400" s="13"/>
      <c r="D400" s="1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2"/>
      <c r="B401" s="1"/>
      <c r="C401" s="13"/>
      <c r="D401" s="1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2"/>
      <c r="B402" s="1"/>
      <c r="C402" s="13"/>
      <c r="D402" s="1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2"/>
      <c r="B403" s="1"/>
      <c r="C403" s="13"/>
      <c r="D403" s="1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2"/>
      <c r="B404" s="1"/>
      <c r="C404" s="13"/>
      <c r="D404" s="1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2"/>
      <c r="B405" s="1"/>
      <c r="C405" s="13"/>
      <c r="D405" s="1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2"/>
      <c r="B406" s="1"/>
      <c r="C406" s="13"/>
      <c r="D406" s="1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2"/>
      <c r="B407" s="1"/>
      <c r="C407" s="13"/>
      <c r="D407" s="1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2"/>
      <c r="B408" s="1"/>
      <c r="C408" s="13"/>
      <c r="D408" s="1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2"/>
      <c r="B409" s="1"/>
      <c r="C409" s="13"/>
      <c r="D409" s="1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2"/>
      <c r="B410" s="1"/>
      <c r="C410" s="13"/>
      <c r="D410" s="1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2"/>
      <c r="B411" s="1"/>
      <c r="C411" s="13"/>
      <c r="D411" s="1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2"/>
      <c r="B412" s="1"/>
      <c r="C412" s="13"/>
      <c r="D412" s="1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2"/>
      <c r="B413" s="1"/>
      <c r="C413" s="13"/>
      <c r="D413" s="1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2"/>
      <c r="B414" s="1"/>
      <c r="C414" s="13"/>
      <c r="D414" s="1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2"/>
      <c r="B415" s="1"/>
      <c r="C415" s="13"/>
      <c r="D415" s="1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2"/>
      <c r="B416" s="1"/>
      <c r="C416" s="13"/>
      <c r="D416" s="1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2"/>
      <c r="B417" s="1"/>
      <c r="C417" s="13"/>
      <c r="D417" s="1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2"/>
      <c r="B418" s="1"/>
      <c r="C418" s="13"/>
      <c r="D418" s="1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2"/>
      <c r="B419" s="1"/>
      <c r="C419" s="13"/>
      <c r="D419" s="1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2"/>
      <c r="B420" s="1"/>
      <c r="C420" s="13"/>
      <c r="D420" s="1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2"/>
      <c r="B421" s="1"/>
      <c r="C421" s="13"/>
      <c r="D421" s="1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2"/>
      <c r="B422" s="1"/>
      <c r="C422" s="13"/>
      <c r="D422" s="1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2"/>
      <c r="B423" s="1"/>
      <c r="C423" s="13"/>
      <c r="D423" s="1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2"/>
      <c r="B424" s="1"/>
      <c r="C424" s="13"/>
      <c r="D424" s="1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2"/>
      <c r="B425" s="1"/>
      <c r="C425" s="13"/>
      <c r="D425" s="1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2"/>
      <c r="B426" s="1"/>
      <c r="C426" s="13"/>
      <c r="D426" s="1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2"/>
      <c r="B427" s="1"/>
      <c r="C427" s="13"/>
      <c r="D427" s="1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2"/>
      <c r="B428" s="1"/>
      <c r="C428" s="13"/>
      <c r="D428" s="1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2"/>
      <c r="B429" s="1"/>
      <c r="C429" s="13"/>
      <c r="D429" s="1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2"/>
      <c r="B430" s="1"/>
      <c r="C430" s="13"/>
      <c r="D430" s="1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2"/>
      <c r="B431" s="1"/>
      <c r="C431" s="13"/>
      <c r="D431" s="1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2"/>
      <c r="B432" s="1"/>
      <c r="C432" s="13"/>
      <c r="D432" s="1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2"/>
      <c r="B433" s="1"/>
      <c r="C433" s="13"/>
      <c r="D433" s="1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2"/>
      <c r="B434" s="1"/>
      <c r="C434" s="13"/>
      <c r="D434" s="1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2"/>
      <c r="B435" s="1"/>
      <c r="C435" s="13"/>
      <c r="D435" s="1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2"/>
      <c r="B436" s="1"/>
      <c r="C436" s="13"/>
      <c r="D436" s="1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2"/>
      <c r="B437" s="1"/>
      <c r="C437" s="13"/>
      <c r="D437" s="1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2"/>
      <c r="B438" s="1"/>
      <c r="C438" s="13"/>
      <c r="D438" s="1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2"/>
      <c r="B439" s="1"/>
      <c r="C439" s="13"/>
      <c r="D439" s="1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2"/>
      <c r="B440" s="1"/>
      <c r="C440" s="13"/>
      <c r="D440" s="1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2"/>
      <c r="B441" s="1"/>
      <c r="C441" s="13"/>
      <c r="D441" s="1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2"/>
      <c r="B442" s="1"/>
      <c r="C442" s="13"/>
      <c r="D442" s="1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2"/>
      <c r="B443" s="1"/>
      <c r="C443" s="13"/>
      <c r="D443" s="1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2"/>
      <c r="B444" s="1"/>
      <c r="C444" s="13"/>
      <c r="D444" s="1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2"/>
      <c r="B445" s="1"/>
      <c r="C445" s="13"/>
      <c r="D445" s="1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2"/>
      <c r="B446" s="1"/>
      <c r="C446" s="13"/>
      <c r="D446" s="1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2"/>
      <c r="B447" s="1"/>
      <c r="C447" s="13"/>
      <c r="D447" s="1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2"/>
      <c r="B448" s="1"/>
      <c r="C448" s="13"/>
      <c r="D448" s="1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2"/>
      <c r="B449" s="1"/>
      <c r="C449" s="13"/>
      <c r="D449" s="1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2"/>
      <c r="B450" s="1"/>
      <c r="C450" s="13"/>
      <c r="D450" s="1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2"/>
      <c r="B451" s="1"/>
      <c r="C451" s="13"/>
      <c r="D451" s="1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2"/>
      <c r="B452" s="1"/>
      <c r="C452" s="13"/>
      <c r="D452" s="1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2"/>
      <c r="B453" s="1"/>
      <c r="C453" s="13"/>
      <c r="D453" s="1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2"/>
      <c r="B454" s="1"/>
      <c r="C454" s="13"/>
      <c r="D454" s="1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2"/>
      <c r="B455" s="1"/>
      <c r="C455" s="13"/>
      <c r="D455" s="1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2"/>
      <c r="B456" s="1"/>
      <c r="C456" s="13"/>
      <c r="D456" s="1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2"/>
      <c r="B457" s="1"/>
      <c r="C457" s="13"/>
      <c r="D457" s="1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2"/>
      <c r="B458" s="1"/>
      <c r="C458" s="13"/>
      <c r="D458" s="1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2"/>
      <c r="B459" s="1"/>
      <c r="C459" s="13"/>
      <c r="D459" s="1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2"/>
      <c r="B460" s="1"/>
      <c r="C460" s="13"/>
      <c r="D460" s="1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2"/>
      <c r="B461" s="1"/>
      <c r="C461" s="13"/>
      <c r="D461" s="1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2"/>
      <c r="B462" s="1"/>
      <c r="C462" s="13"/>
      <c r="D462" s="1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2"/>
      <c r="B463" s="1"/>
      <c r="C463" s="13"/>
      <c r="D463" s="1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2"/>
      <c r="B464" s="1"/>
      <c r="C464" s="13"/>
      <c r="D464" s="1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2"/>
      <c r="B465" s="1"/>
      <c r="C465" s="13"/>
      <c r="D465" s="1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2"/>
      <c r="B466" s="1"/>
      <c r="C466" s="13"/>
      <c r="D466" s="1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2"/>
      <c r="B467" s="1"/>
      <c r="C467" s="13"/>
      <c r="D467" s="1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2"/>
      <c r="B468" s="1"/>
      <c r="C468" s="13"/>
      <c r="D468" s="1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2"/>
      <c r="B469" s="1"/>
      <c r="C469" s="13"/>
      <c r="D469" s="1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2"/>
      <c r="B470" s="1"/>
      <c r="C470" s="13"/>
      <c r="D470" s="1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2"/>
      <c r="B471" s="1"/>
      <c r="C471" s="13"/>
      <c r="D471" s="1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2"/>
      <c r="B472" s="1"/>
      <c r="C472" s="13"/>
      <c r="D472" s="1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2"/>
      <c r="B473" s="1"/>
      <c r="C473" s="13"/>
      <c r="D473" s="1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2"/>
      <c r="B474" s="1"/>
      <c r="C474" s="13"/>
      <c r="D474" s="1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2"/>
      <c r="B475" s="1"/>
      <c r="C475" s="13"/>
      <c r="D475" s="1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2"/>
      <c r="B476" s="1"/>
      <c r="C476" s="13"/>
      <c r="D476" s="1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2"/>
      <c r="B477" s="1"/>
      <c r="C477" s="13"/>
      <c r="D477" s="1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2"/>
      <c r="B478" s="1"/>
      <c r="C478" s="13"/>
      <c r="D478" s="1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2"/>
      <c r="B479" s="1"/>
      <c r="C479" s="13"/>
      <c r="D479" s="1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2"/>
      <c r="B480" s="1"/>
      <c r="C480" s="13"/>
      <c r="D480" s="1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2"/>
      <c r="B481" s="1"/>
      <c r="C481" s="13"/>
      <c r="D481" s="1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2"/>
      <c r="B482" s="1"/>
      <c r="C482" s="13"/>
      <c r="D482" s="1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2"/>
      <c r="B483" s="1"/>
      <c r="C483" s="13"/>
      <c r="D483" s="1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2"/>
      <c r="B484" s="1"/>
      <c r="C484" s="13"/>
      <c r="D484" s="1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2"/>
      <c r="B485" s="1"/>
      <c r="C485" s="13"/>
      <c r="D485" s="1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2"/>
      <c r="B486" s="1"/>
      <c r="C486" s="13"/>
      <c r="D486" s="1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2"/>
      <c r="B487" s="1"/>
      <c r="C487" s="13"/>
      <c r="D487" s="1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2"/>
      <c r="B488" s="1"/>
      <c r="C488" s="13"/>
      <c r="D488" s="1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2"/>
      <c r="B489" s="1"/>
      <c r="C489" s="13"/>
      <c r="D489" s="1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2"/>
      <c r="B490" s="1"/>
      <c r="C490" s="13"/>
      <c r="D490" s="1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2"/>
      <c r="B491" s="1"/>
      <c r="C491" s="13"/>
      <c r="D491" s="1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2"/>
      <c r="B492" s="1"/>
      <c r="C492" s="13"/>
      <c r="D492" s="1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2"/>
      <c r="B493" s="1"/>
      <c r="C493" s="13"/>
      <c r="D493" s="1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2"/>
      <c r="B494" s="1"/>
      <c r="C494" s="13"/>
      <c r="D494" s="1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2"/>
      <c r="B495" s="1"/>
      <c r="C495" s="13"/>
      <c r="D495" s="1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2"/>
      <c r="B496" s="1"/>
      <c r="C496" s="13"/>
      <c r="D496" s="1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2"/>
      <c r="B497" s="1"/>
      <c r="C497" s="13"/>
      <c r="D497" s="1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2"/>
      <c r="B498" s="1"/>
      <c r="C498" s="13"/>
      <c r="D498" s="1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2"/>
      <c r="B499" s="1"/>
      <c r="C499" s="13"/>
      <c r="D499" s="1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2"/>
      <c r="B500" s="1"/>
      <c r="C500" s="13"/>
      <c r="D500" s="1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2"/>
      <c r="B501" s="1"/>
      <c r="C501" s="13"/>
      <c r="D501" s="1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2"/>
      <c r="B502" s="1"/>
      <c r="C502" s="13"/>
      <c r="D502" s="1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2"/>
      <c r="B503" s="1"/>
      <c r="C503" s="13"/>
      <c r="D503" s="1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2"/>
      <c r="B504" s="1"/>
      <c r="C504" s="13"/>
      <c r="D504" s="1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2"/>
      <c r="B505" s="1"/>
      <c r="C505" s="13"/>
      <c r="D505" s="1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2"/>
      <c r="B506" s="1"/>
      <c r="C506" s="13"/>
      <c r="D506" s="1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2"/>
      <c r="B507" s="1"/>
      <c r="C507" s="13"/>
      <c r="D507" s="1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2"/>
      <c r="B508" s="1"/>
      <c r="C508" s="13"/>
      <c r="D508" s="1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2"/>
      <c r="B509" s="1"/>
      <c r="C509" s="13"/>
      <c r="D509" s="1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2"/>
      <c r="B510" s="1"/>
      <c r="C510" s="13"/>
      <c r="D510" s="1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2"/>
      <c r="B511" s="1"/>
      <c r="C511" s="13"/>
      <c r="D511" s="1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2"/>
      <c r="B512" s="1"/>
      <c r="C512" s="13"/>
      <c r="D512" s="1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2"/>
      <c r="B513" s="1"/>
      <c r="C513" s="13"/>
      <c r="D513" s="1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2"/>
      <c r="B514" s="1"/>
      <c r="C514" s="13"/>
      <c r="D514" s="1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2"/>
      <c r="B515" s="1"/>
      <c r="C515" s="13"/>
      <c r="D515" s="1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2"/>
      <c r="B516" s="1"/>
      <c r="C516" s="13"/>
      <c r="D516" s="1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2"/>
      <c r="B517" s="1"/>
      <c r="C517" s="13"/>
      <c r="D517" s="1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2"/>
      <c r="B518" s="1"/>
      <c r="C518" s="13"/>
      <c r="D518" s="1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2"/>
      <c r="B519" s="1"/>
      <c r="C519" s="13"/>
      <c r="D519" s="1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2"/>
      <c r="B520" s="1"/>
      <c r="C520" s="13"/>
      <c r="D520" s="1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2"/>
      <c r="B521" s="1"/>
      <c r="C521" s="13"/>
      <c r="D521" s="1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2"/>
      <c r="B522" s="1"/>
      <c r="C522" s="13"/>
      <c r="D522" s="1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2"/>
      <c r="B523" s="1"/>
      <c r="C523" s="13"/>
      <c r="D523" s="1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2"/>
      <c r="B524" s="1"/>
      <c r="C524" s="13"/>
      <c r="D524" s="1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2"/>
      <c r="B525" s="1"/>
      <c r="C525" s="13"/>
      <c r="D525" s="1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2"/>
      <c r="B526" s="1"/>
      <c r="C526" s="13"/>
      <c r="D526" s="1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2"/>
      <c r="B527" s="1"/>
      <c r="C527" s="13"/>
      <c r="D527" s="1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2"/>
      <c r="B528" s="1"/>
      <c r="C528" s="13"/>
      <c r="D528" s="1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2"/>
      <c r="B529" s="1"/>
      <c r="C529" s="13"/>
      <c r="D529" s="1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2"/>
      <c r="B530" s="1"/>
      <c r="C530" s="13"/>
      <c r="D530" s="1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2"/>
      <c r="B531" s="1"/>
      <c r="C531" s="13"/>
      <c r="D531" s="1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2"/>
      <c r="B532" s="1"/>
      <c r="C532" s="13"/>
      <c r="D532" s="1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2"/>
      <c r="B533" s="1"/>
      <c r="C533" s="13"/>
      <c r="D533" s="1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2"/>
      <c r="B534" s="1"/>
      <c r="C534" s="13"/>
      <c r="D534" s="1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2"/>
      <c r="B535" s="1"/>
      <c r="C535" s="13"/>
      <c r="D535" s="1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2"/>
      <c r="B536" s="1"/>
      <c r="C536" s="13"/>
      <c r="D536" s="1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2"/>
      <c r="B537" s="1"/>
      <c r="C537" s="13"/>
      <c r="D537" s="1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2"/>
      <c r="B538" s="1"/>
      <c r="C538" s="13"/>
      <c r="D538" s="1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2"/>
      <c r="B539" s="1"/>
      <c r="C539" s="13"/>
      <c r="D539" s="1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2"/>
      <c r="B540" s="1"/>
      <c r="C540" s="13"/>
      <c r="D540" s="1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2"/>
      <c r="B541" s="1"/>
      <c r="C541" s="13"/>
      <c r="D541" s="1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2"/>
      <c r="B542" s="1"/>
      <c r="C542" s="13"/>
      <c r="D542" s="1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2"/>
      <c r="B543" s="1"/>
      <c r="C543" s="13"/>
      <c r="D543" s="1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2"/>
      <c r="B544" s="1"/>
      <c r="C544" s="13"/>
      <c r="D544" s="1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2"/>
      <c r="B545" s="1"/>
      <c r="C545" s="13"/>
      <c r="D545" s="1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2"/>
      <c r="B546" s="1"/>
      <c r="C546" s="13"/>
      <c r="D546" s="1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2"/>
      <c r="B547" s="1"/>
      <c r="C547" s="13"/>
      <c r="D547" s="1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2"/>
      <c r="B548" s="1"/>
      <c r="C548" s="13"/>
      <c r="D548" s="1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2"/>
      <c r="B549" s="1"/>
      <c r="C549" s="13"/>
      <c r="D549" s="1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2"/>
      <c r="B550" s="1"/>
      <c r="C550" s="13"/>
      <c r="D550" s="1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2"/>
      <c r="B551" s="1"/>
      <c r="C551" s="13"/>
      <c r="D551" s="1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2"/>
      <c r="B552" s="1"/>
      <c r="C552" s="13"/>
      <c r="D552" s="1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2"/>
      <c r="B553" s="1"/>
      <c r="C553" s="13"/>
      <c r="D553" s="1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2"/>
      <c r="B554" s="1"/>
      <c r="C554" s="13"/>
      <c r="D554" s="1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2"/>
      <c r="B555" s="1"/>
      <c r="C555" s="13"/>
      <c r="D555" s="1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2"/>
      <c r="B556" s="1"/>
      <c r="C556" s="13"/>
      <c r="D556" s="1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2"/>
      <c r="B557" s="1"/>
      <c r="C557" s="13"/>
      <c r="D557" s="1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2"/>
      <c r="B558" s="1"/>
      <c r="C558" s="13"/>
      <c r="D558" s="1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2"/>
      <c r="B559" s="1"/>
      <c r="C559" s="13"/>
      <c r="D559" s="1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2"/>
      <c r="B560" s="1"/>
      <c r="C560" s="13"/>
      <c r="D560" s="1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2"/>
      <c r="B561" s="1"/>
      <c r="C561" s="13"/>
      <c r="D561" s="1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2"/>
      <c r="B562" s="1"/>
      <c r="C562" s="13"/>
      <c r="D562" s="1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2"/>
      <c r="B563" s="1"/>
      <c r="C563" s="13"/>
      <c r="D563" s="1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2"/>
      <c r="B564" s="1"/>
      <c r="C564" s="13"/>
      <c r="D564" s="1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2"/>
      <c r="B565" s="1"/>
      <c r="C565" s="13"/>
      <c r="D565" s="1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2"/>
      <c r="B566" s="1"/>
      <c r="C566" s="13"/>
      <c r="D566" s="1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2"/>
      <c r="B567" s="1"/>
      <c r="C567" s="13"/>
      <c r="D567" s="1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2"/>
      <c r="B568" s="1"/>
      <c r="C568" s="13"/>
      <c r="D568" s="1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2"/>
      <c r="B569" s="1"/>
      <c r="C569" s="13"/>
      <c r="D569" s="1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2"/>
      <c r="B570" s="1"/>
      <c r="C570" s="13"/>
      <c r="D570" s="1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2"/>
      <c r="B571" s="1"/>
      <c r="C571" s="13"/>
      <c r="D571" s="1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2"/>
      <c r="B572" s="1"/>
      <c r="C572" s="13"/>
      <c r="D572" s="1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2"/>
      <c r="B573" s="1"/>
      <c r="C573" s="13"/>
      <c r="D573" s="1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2"/>
      <c r="B574" s="1"/>
      <c r="C574" s="13"/>
      <c r="D574" s="1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2"/>
      <c r="B575" s="1"/>
      <c r="C575" s="13"/>
      <c r="D575" s="1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2"/>
      <c r="B576" s="1"/>
      <c r="C576" s="13"/>
      <c r="D576" s="1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2"/>
      <c r="B577" s="1"/>
      <c r="C577" s="13"/>
      <c r="D577" s="1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2"/>
      <c r="B578" s="1"/>
      <c r="C578" s="13"/>
      <c r="D578" s="1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2"/>
      <c r="B579" s="1"/>
      <c r="C579" s="13"/>
      <c r="D579" s="1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2"/>
      <c r="B580" s="1"/>
      <c r="C580" s="13"/>
      <c r="D580" s="1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2"/>
      <c r="B581" s="1"/>
      <c r="C581" s="13"/>
      <c r="D581" s="1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2"/>
      <c r="B582" s="1"/>
      <c r="C582" s="13"/>
      <c r="D582" s="1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2"/>
      <c r="B583" s="1"/>
      <c r="C583" s="13"/>
      <c r="D583" s="1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2"/>
      <c r="B584" s="1"/>
      <c r="C584" s="13"/>
      <c r="D584" s="1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2"/>
      <c r="B585" s="1"/>
      <c r="C585" s="13"/>
      <c r="D585" s="1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2"/>
      <c r="B586" s="1"/>
      <c r="C586" s="13"/>
      <c r="D586" s="1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2"/>
      <c r="B587" s="1"/>
      <c r="C587" s="13"/>
      <c r="D587" s="1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2"/>
      <c r="B588" s="1"/>
      <c r="C588" s="13"/>
      <c r="D588" s="1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2"/>
      <c r="B589" s="1"/>
      <c r="C589" s="13"/>
      <c r="D589" s="1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2"/>
      <c r="B590" s="1"/>
      <c r="C590" s="13"/>
      <c r="D590" s="1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2"/>
      <c r="B591" s="1"/>
      <c r="C591" s="13"/>
      <c r="D591" s="1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2"/>
      <c r="B592" s="1"/>
      <c r="C592" s="13"/>
      <c r="D592" s="1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2"/>
      <c r="B593" s="1"/>
      <c r="C593" s="13"/>
      <c r="D593" s="1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2"/>
      <c r="B594" s="1"/>
      <c r="C594" s="13"/>
      <c r="D594" s="1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2"/>
      <c r="B595" s="1"/>
      <c r="C595" s="13"/>
      <c r="D595" s="1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2"/>
      <c r="B596" s="1"/>
      <c r="C596" s="13"/>
      <c r="D596" s="1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2"/>
      <c r="B597" s="1"/>
      <c r="C597" s="13"/>
      <c r="D597" s="1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2"/>
      <c r="B598" s="1"/>
      <c r="C598" s="13"/>
      <c r="D598" s="1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2"/>
      <c r="B599" s="1"/>
      <c r="C599" s="13"/>
      <c r="D599" s="1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2"/>
      <c r="B600" s="1"/>
      <c r="C600" s="13"/>
      <c r="D600" s="1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2"/>
      <c r="B601" s="1"/>
      <c r="C601" s="13"/>
      <c r="D601" s="1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2"/>
      <c r="B602" s="1"/>
      <c r="C602" s="13"/>
      <c r="D602" s="1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2"/>
      <c r="B603" s="1"/>
      <c r="C603" s="13"/>
      <c r="D603" s="1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2"/>
      <c r="B604" s="1"/>
      <c r="C604" s="13"/>
      <c r="D604" s="1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2"/>
      <c r="B605" s="1"/>
      <c r="C605" s="13"/>
      <c r="D605" s="1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2"/>
      <c r="B606" s="1"/>
      <c r="C606" s="13"/>
      <c r="D606" s="1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2"/>
      <c r="B607" s="1"/>
      <c r="C607" s="13"/>
      <c r="D607" s="1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2"/>
      <c r="B608" s="1"/>
      <c r="C608" s="13"/>
      <c r="D608" s="1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2"/>
      <c r="B609" s="1"/>
      <c r="C609" s="13"/>
      <c r="D609" s="1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2"/>
      <c r="B610" s="1"/>
      <c r="C610" s="13"/>
      <c r="D610" s="1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2"/>
      <c r="B611" s="1"/>
      <c r="C611" s="13"/>
      <c r="D611" s="1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2"/>
      <c r="B612" s="1"/>
      <c r="C612" s="13"/>
      <c r="D612" s="1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2"/>
      <c r="B613" s="1"/>
      <c r="C613" s="13"/>
      <c r="D613" s="1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2"/>
      <c r="B614" s="1"/>
      <c r="C614" s="13"/>
      <c r="D614" s="1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2"/>
      <c r="B615" s="1"/>
      <c r="C615" s="13"/>
      <c r="D615" s="1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2"/>
      <c r="B616" s="1"/>
      <c r="C616" s="13"/>
      <c r="D616" s="1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2"/>
      <c r="B617" s="1"/>
      <c r="C617" s="13"/>
      <c r="D617" s="1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2"/>
      <c r="B618" s="1"/>
      <c r="C618" s="13"/>
      <c r="D618" s="1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2"/>
      <c r="B619" s="1"/>
      <c r="C619" s="13"/>
      <c r="D619" s="1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2"/>
      <c r="B620" s="1"/>
      <c r="C620" s="13"/>
      <c r="D620" s="1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2"/>
      <c r="B621" s="1"/>
      <c r="C621" s="13"/>
      <c r="D621" s="1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2"/>
      <c r="B622" s="1"/>
      <c r="C622" s="13"/>
      <c r="D622" s="1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2"/>
      <c r="B623" s="1"/>
      <c r="C623" s="13"/>
      <c r="D623" s="1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2"/>
      <c r="B624" s="1"/>
      <c r="C624" s="13"/>
      <c r="D624" s="1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2"/>
      <c r="B625" s="1"/>
      <c r="C625" s="13"/>
      <c r="D625" s="1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2"/>
      <c r="B626" s="1"/>
      <c r="C626" s="13"/>
      <c r="D626" s="1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2"/>
      <c r="B627" s="1"/>
      <c r="C627" s="13"/>
      <c r="D627" s="1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2"/>
      <c r="B628" s="1"/>
      <c r="C628" s="13"/>
      <c r="D628" s="1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2"/>
      <c r="B629" s="1"/>
      <c r="C629" s="13"/>
      <c r="D629" s="1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2"/>
      <c r="B630" s="1"/>
      <c r="C630" s="13"/>
      <c r="D630" s="1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2"/>
      <c r="B631" s="1"/>
      <c r="C631" s="13"/>
      <c r="D631" s="1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2"/>
      <c r="B632" s="1"/>
      <c r="C632" s="13"/>
      <c r="D632" s="1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2"/>
      <c r="B633" s="1"/>
      <c r="C633" s="13"/>
      <c r="D633" s="1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2"/>
      <c r="B634" s="1"/>
      <c r="C634" s="13"/>
      <c r="D634" s="1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2"/>
      <c r="B635" s="1"/>
      <c r="C635" s="13"/>
      <c r="D635" s="1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2"/>
      <c r="B636" s="1"/>
      <c r="C636" s="13"/>
      <c r="D636" s="1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2"/>
      <c r="B637" s="1"/>
      <c r="C637" s="13"/>
      <c r="D637" s="1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2"/>
      <c r="B638" s="1"/>
      <c r="C638" s="13"/>
      <c r="D638" s="1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2"/>
      <c r="B639" s="1"/>
      <c r="C639" s="13"/>
      <c r="D639" s="1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2"/>
      <c r="B640" s="1"/>
      <c r="C640" s="13"/>
      <c r="D640" s="1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2"/>
      <c r="B641" s="1"/>
      <c r="C641" s="13"/>
      <c r="D641" s="1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2"/>
      <c r="B642" s="1"/>
      <c r="C642" s="13"/>
      <c r="D642" s="1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2"/>
      <c r="B643" s="1"/>
      <c r="C643" s="13"/>
      <c r="D643" s="1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2"/>
      <c r="B644" s="1"/>
      <c r="C644" s="13"/>
      <c r="D644" s="1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2"/>
      <c r="B645" s="1"/>
      <c r="C645" s="13"/>
      <c r="D645" s="1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2"/>
      <c r="B646" s="1"/>
      <c r="C646" s="13"/>
      <c r="D646" s="1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2"/>
      <c r="B647" s="1"/>
      <c r="C647" s="13"/>
      <c r="D647" s="1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2"/>
      <c r="B648" s="1"/>
      <c r="C648" s="13"/>
      <c r="D648" s="1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2"/>
      <c r="B649" s="1"/>
      <c r="C649" s="13"/>
      <c r="D649" s="1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2"/>
      <c r="B650" s="1"/>
      <c r="C650" s="13"/>
      <c r="D650" s="1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2"/>
      <c r="B651" s="1"/>
      <c r="C651" s="13"/>
      <c r="D651" s="1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2"/>
      <c r="B652" s="1"/>
      <c r="C652" s="13"/>
      <c r="D652" s="1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2"/>
      <c r="B653" s="1"/>
      <c r="C653" s="13"/>
      <c r="D653" s="1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2"/>
      <c r="B654" s="1"/>
      <c r="C654" s="13"/>
      <c r="D654" s="1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2"/>
      <c r="B655" s="1"/>
      <c r="C655" s="13"/>
      <c r="D655" s="1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2"/>
      <c r="B656" s="1"/>
      <c r="C656" s="13"/>
      <c r="D656" s="1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2"/>
      <c r="B657" s="1"/>
      <c r="C657" s="13"/>
      <c r="D657" s="1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2"/>
      <c r="B658" s="1"/>
      <c r="C658" s="13"/>
      <c r="D658" s="1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2"/>
      <c r="B659" s="1"/>
      <c r="C659" s="13"/>
      <c r="D659" s="1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2"/>
      <c r="B660" s="1"/>
      <c r="C660" s="13"/>
      <c r="D660" s="1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2"/>
      <c r="B661" s="1"/>
      <c r="C661" s="13"/>
      <c r="D661" s="1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2"/>
      <c r="B662" s="1"/>
      <c r="C662" s="13"/>
      <c r="D662" s="1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2"/>
      <c r="B663" s="1"/>
      <c r="C663" s="13"/>
      <c r="D663" s="1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2"/>
      <c r="B664" s="1"/>
      <c r="C664" s="13"/>
      <c r="D664" s="1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2"/>
      <c r="B665" s="1"/>
      <c r="C665" s="13"/>
      <c r="D665" s="1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2"/>
      <c r="B666" s="1"/>
      <c r="C666" s="13"/>
      <c r="D666" s="1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2"/>
      <c r="B667" s="1"/>
      <c r="C667" s="13"/>
      <c r="D667" s="1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2"/>
      <c r="B668" s="1"/>
      <c r="C668" s="13"/>
      <c r="D668" s="1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2"/>
      <c r="B669" s="1"/>
      <c r="C669" s="13"/>
      <c r="D669" s="1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2"/>
      <c r="B670" s="1"/>
      <c r="C670" s="13"/>
      <c r="D670" s="1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2"/>
      <c r="B671" s="1"/>
      <c r="C671" s="13"/>
      <c r="D671" s="1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2"/>
      <c r="B672" s="1"/>
      <c r="C672" s="13"/>
      <c r="D672" s="1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2"/>
      <c r="B673" s="1"/>
      <c r="C673" s="13"/>
      <c r="D673" s="1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2"/>
      <c r="B674" s="1"/>
      <c r="C674" s="13"/>
      <c r="D674" s="1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2"/>
      <c r="B675" s="1"/>
      <c r="C675" s="13"/>
      <c r="D675" s="1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2"/>
      <c r="B676" s="1"/>
      <c r="C676" s="13"/>
      <c r="D676" s="1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2"/>
      <c r="B677" s="1"/>
      <c r="C677" s="13"/>
      <c r="D677" s="1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2"/>
      <c r="B678" s="1"/>
      <c r="C678" s="13"/>
      <c r="D678" s="1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2"/>
      <c r="B679" s="1"/>
      <c r="C679" s="13"/>
      <c r="D679" s="1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2"/>
      <c r="B680" s="1"/>
      <c r="C680" s="13"/>
      <c r="D680" s="1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2"/>
      <c r="B681" s="1"/>
      <c r="C681" s="13"/>
      <c r="D681" s="1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2"/>
      <c r="B682" s="1"/>
      <c r="C682" s="13"/>
      <c r="D682" s="1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2"/>
      <c r="B683" s="1"/>
      <c r="C683" s="13"/>
      <c r="D683" s="1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2"/>
      <c r="B684" s="1"/>
      <c r="C684" s="13"/>
      <c r="D684" s="1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2"/>
      <c r="B685" s="1"/>
      <c r="C685" s="13"/>
      <c r="D685" s="1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2"/>
      <c r="B686" s="1"/>
      <c r="C686" s="13"/>
      <c r="D686" s="1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2"/>
      <c r="B687" s="1"/>
      <c r="C687" s="13"/>
      <c r="D687" s="1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2"/>
      <c r="B688" s="1"/>
      <c r="C688" s="13"/>
      <c r="D688" s="1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2"/>
      <c r="B689" s="1"/>
      <c r="C689" s="13"/>
      <c r="D689" s="1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2"/>
      <c r="B690" s="1"/>
      <c r="C690" s="13"/>
      <c r="D690" s="1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2"/>
      <c r="B691" s="1"/>
      <c r="C691" s="13"/>
      <c r="D691" s="1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2"/>
      <c r="B692" s="1"/>
      <c r="C692" s="13"/>
      <c r="D692" s="1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2"/>
      <c r="B693" s="1"/>
      <c r="C693" s="13"/>
      <c r="D693" s="1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2"/>
      <c r="B694" s="1"/>
      <c r="C694" s="13"/>
      <c r="D694" s="1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2"/>
      <c r="B695" s="1"/>
      <c r="C695" s="13"/>
      <c r="D695" s="1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2"/>
      <c r="B696" s="1"/>
      <c r="C696" s="13"/>
      <c r="D696" s="1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2"/>
      <c r="B697" s="1"/>
      <c r="C697" s="13"/>
      <c r="D697" s="1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2"/>
      <c r="B698" s="1"/>
      <c r="C698" s="13"/>
      <c r="D698" s="1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2"/>
      <c r="B699" s="1"/>
      <c r="C699" s="13"/>
      <c r="D699" s="1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2"/>
      <c r="B700" s="1"/>
      <c r="C700" s="13"/>
      <c r="D700" s="1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2"/>
      <c r="B701" s="1"/>
      <c r="C701" s="13"/>
      <c r="D701" s="1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2"/>
      <c r="B702" s="1"/>
      <c r="C702" s="13"/>
      <c r="D702" s="1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2"/>
      <c r="B703" s="1"/>
      <c r="C703" s="13"/>
      <c r="D703" s="1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2"/>
      <c r="B704" s="1"/>
      <c r="C704" s="13"/>
      <c r="D704" s="1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2"/>
      <c r="B705" s="1"/>
      <c r="C705" s="13"/>
      <c r="D705" s="1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2"/>
      <c r="B706" s="1"/>
      <c r="C706" s="13"/>
      <c r="D706" s="1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2"/>
      <c r="B707" s="1"/>
      <c r="C707" s="13"/>
      <c r="D707" s="1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2"/>
      <c r="B708" s="1"/>
      <c r="C708" s="13"/>
      <c r="D708" s="1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2"/>
      <c r="B709" s="1"/>
      <c r="C709" s="13"/>
      <c r="D709" s="1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2"/>
      <c r="B710" s="1"/>
      <c r="C710" s="13"/>
      <c r="D710" s="1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2"/>
      <c r="B711" s="1"/>
      <c r="C711" s="13"/>
      <c r="D711" s="1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2"/>
      <c r="B712" s="1"/>
      <c r="C712" s="13"/>
      <c r="D712" s="1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2"/>
      <c r="B713" s="1"/>
      <c r="C713" s="13"/>
      <c r="D713" s="1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2"/>
      <c r="B714" s="1"/>
      <c r="C714" s="13"/>
      <c r="D714" s="1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2"/>
      <c r="B715" s="1"/>
      <c r="C715" s="13"/>
      <c r="D715" s="1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2"/>
      <c r="B716" s="1"/>
      <c r="C716" s="13"/>
      <c r="D716" s="1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2"/>
      <c r="B717" s="1"/>
      <c r="C717" s="13"/>
      <c r="D717" s="1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2"/>
      <c r="B718" s="1"/>
      <c r="C718" s="13"/>
      <c r="D718" s="1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2"/>
      <c r="B719" s="1"/>
      <c r="C719" s="13"/>
      <c r="D719" s="1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2"/>
      <c r="B720" s="1"/>
      <c r="C720" s="13"/>
      <c r="D720" s="1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2"/>
      <c r="B721" s="1"/>
      <c r="C721" s="13"/>
      <c r="D721" s="1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2"/>
      <c r="B722" s="1"/>
      <c r="C722" s="13"/>
      <c r="D722" s="1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2"/>
      <c r="B723" s="1"/>
      <c r="C723" s="13"/>
      <c r="D723" s="1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2"/>
      <c r="B724" s="1"/>
      <c r="C724" s="13"/>
      <c r="D724" s="1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2"/>
      <c r="B725" s="1"/>
      <c r="C725" s="13"/>
      <c r="D725" s="1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2"/>
      <c r="B726" s="1"/>
      <c r="C726" s="13"/>
      <c r="D726" s="1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2"/>
      <c r="B727" s="1"/>
      <c r="C727" s="13"/>
      <c r="D727" s="1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2"/>
      <c r="B728" s="1"/>
      <c r="C728" s="13"/>
      <c r="D728" s="1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2"/>
      <c r="B729" s="1"/>
      <c r="C729" s="13"/>
      <c r="D729" s="1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2"/>
      <c r="B730" s="1"/>
      <c r="C730" s="13"/>
      <c r="D730" s="1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2"/>
      <c r="B731" s="1"/>
      <c r="C731" s="13"/>
      <c r="D731" s="1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2"/>
      <c r="B732" s="1"/>
      <c r="C732" s="13"/>
      <c r="D732" s="1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2"/>
      <c r="B733" s="1"/>
      <c r="C733" s="13"/>
      <c r="D733" s="1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2"/>
      <c r="B734" s="1"/>
      <c r="C734" s="13"/>
      <c r="D734" s="1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2"/>
      <c r="B735" s="1"/>
      <c r="C735" s="13"/>
      <c r="D735" s="1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2"/>
      <c r="B736" s="1"/>
      <c r="C736" s="13"/>
      <c r="D736" s="1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2"/>
      <c r="B737" s="1"/>
      <c r="C737" s="13"/>
      <c r="D737" s="1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2"/>
      <c r="B738" s="1"/>
      <c r="C738" s="13"/>
      <c r="D738" s="1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2"/>
      <c r="B739" s="1"/>
      <c r="C739" s="13"/>
      <c r="D739" s="1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2"/>
      <c r="B740" s="1"/>
      <c r="C740" s="13"/>
      <c r="D740" s="1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2"/>
      <c r="B741" s="1"/>
      <c r="C741" s="13"/>
      <c r="D741" s="1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2"/>
      <c r="B742" s="1"/>
      <c r="C742" s="13"/>
      <c r="D742" s="1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2"/>
      <c r="B743" s="1"/>
      <c r="C743" s="13"/>
      <c r="D743" s="1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2"/>
      <c r="B744" s="1"/>
      <c r="C744" s="13"/>
      <c r="D744" s="1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2"/>
      <c r="B745" s="1"/>
      <c r="C745" s="13"/>
      <c r="D745" s="1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2"/>
      <c r="B746" s="1"/>
      <c r="C746" s="13"/>
      <c r="D746" s="1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2"/>
      <c r="B747" s="1"/>
      <c r="C747" s="13"/>
      <c r="D747" s="1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2"/>
      <c r="B748" s="1"/>
      <c r="C748" s="13"/>
      <c r="D748" s="1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2"/>
      <c r="B749" s="1"/>
      <c r="C749" s="13"/>
      <c r="D749" s="1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2"/>
      <c r="B750" s="1"/>
      <c r="C750" s="13"/>
      <c r="D750" s="1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2"/>
      <c r="B751" s="1"/>
      <c r="C751" s="13"/>
      <c r="D751" s="1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2"/>
      <c r="B752" s="1"/>
      <c r="C752" s="13"/>
      <c r="D752" s="1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2"/>
      <c r="B753" s="1"/>
      <c r="C753" s="13"/>
      <c r="D753" s="1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2"/>
      <c r="B754" s="1"/>
      <c r="C754" s="13"/>
      <c r="D754" s="1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2"/>
      <c r="B755" s="1"/>
      <c r="C755" s="13"/>
      <c r="D755" s="1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2"/>
      <c r="B756" s="1"/>
      <c r="C756" s="13"/>
      <c r="D756" s="1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2"/>
      <c r="B757" s="1"/>
      <c r="C757" s="13"/>
      <c r="D757" s="1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2"/>
      <c r="B758" s="1"/>
      <c r="C758" s="13"/>
      <c r="D758" s="1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2"/>
      <c r="B759" s="1"/>
      <c r="C759" s="13"/>
      <c r="D759" s="1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2"/>
      <c r="B760" s="1"/>
      <c r="C760" s="13"/>
      <c r="D760" s="1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2"/>
      <c r="B761" s="1"/>
      <c r="C761" s="13"/>
      <c r="D761" s="1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2"/>
      <c r="B762" s="1"/>
      <c r="C762" s="13"/>
      <c r="D762" s="1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2"/>
      <c r="B763" s="1"/>
      <c r="C763" s="13"/>
      <c r="D763" s="1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2"/>
      <c r="B764" s="1"/>
      <c r="C764" s="13"/>
      <c r="D764" s="1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2"/>
      <c r="B765" s="1"/>
      <c r="C765" s="13"/>
      <c r="D765" s="1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2"/>
      <c r="B766" s="1"/>
      <c r="C766" s="13"/>
      <c r="D766" s="1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2"/>
      <c r="B767" s="1"/>
      <c r="C767" s="13"/>
      <c r="D767" s="1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2"/>
      <c r="B768" s="1"/>
      <c r="C768" s="13"/>
      <c r="D768" s="1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2"/>
      <c r="B769" s="1"/>
      <c r="C769" s="13"/>
      <c r="D769" s="1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2"/>
      <c r="B770" s="1"/>
      <c r="C770" s="13"/>
      <c r="D770" s="1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2"/>
      <c r="B771" s="1"/>
      <c r="C771" s="13"/>
      <c r="D771" s="1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2"/>
      <c r="B772" s="1"/>
      <c r="C772" s="13"/>
      <c r="D772" s="1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2"/>
      <c r="B773" s="1"/>
      <c r="C773" s="13"/>
      <c r="D773" s="1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2"/>
      <c r="B774" s="1"/>
      <c r="C774" s="13"/>
      <c r="D774" s="1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2"/>
      <c r="B775" s="1"/>
      <c r="C775" s="13"/>
      <c r="D775" s="1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2"/>
      <c r="B776" s="1"/>
      <c r="C776" s="13"/>
      <c r="D776" s="1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2"/>
      <c r="B777" s="1"/>
      <c r="C777" s="13"/>
      <c r="D777" s="1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2"/>
      <c r="B778" s="1"/>
      <c r="C778" s="13"/>
      <c r="D778" s="1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2"/>
      <c r="B779" s="1"/>
      <c r="C779" s="13"/>
      <c r="D779" s="1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2"/>
      <c r="B780" s="1"/>
      <c r="C780" s="13"/>
      <c r="D780" s="1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2"/>
      <c r="B781" s="1"/>
      <c r="C781" s="13"/>
      <c r="D781" s="1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2"/>
      <c r="B782" s="1"/>
      <c r="C782" s="13"/>
      <c r="D782" s="1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2"/>
      <c r="B783" s="1"/>
      <c r="C783" s="13"/>
      <c r="D783" s="1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2"/>
      <c r="B784" s="1"/>
      <c r="C784" s="13"/>
      <c r="D784" s="1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2"/>
      <c r="B785" s="1"/>
      <c r="C785" s="13"/>
      <c r="D785" s="1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2"/>
      <c r="B786" s="1"/>
      <c r="C786" s="13"/>
      <c r="D786" s="1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2"/>
      <c r="B787" s="1"/>
      <c r="C787" s="13"/>
      <c r="D787" s="1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2"/>
      <c r="B788" s="1"/>
      <c r="C788" s="13"/>
      <c r="D788" s="1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2"/>
      <c r="B789" s="1"/>
      <c r="C789" s="13"/>
      <c r="D789" s="1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2"/>
      <c r="B790" s="1"/>
      <c r="C790" s="13"/>
      <c r="D790" s="1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2"/>
      <c r="B791" s="1"/>
      <c r="C791" s="13"/>
      <c r="D791" s="1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2"/>
      <c r="B792" s="1"/>
      <c r="C792" s="13"/>
      <c r="D792" s="1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2"/>
      <c r="B793" s="1"/>
      <c r="C793" s="13"/>
      <c r="D793" s="1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2"/>
      <c r="B794" s="1"/>
      <c r="C794" s="13"/>
      <c r="D794" s="1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2"/>
      <c r="B795" s="1"/>
      <c r="C795" s="13"/>
      <c r="D795" s="1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2"/>
      <c r="B796" s="1"/>
      <c r="C796" s="13"/>
      <c r="D796" s="1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2"/>
      <c r="B797" s="1"/>
      <c r="C797" s="13"/>
      <c r="D797" s="1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2"/>
      <c r="B798" s="1"/>
      <c r="C798" s="13"/>
      <c r="D798" s="1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2"/>
      <c r="B799" s="1"/>
      <c r="C799" s="13"/>
      <c r="D799" s="1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2"/>
      <c r="B800" s="1"/>
      <c r="C800" s="13"/>
      <c r="D800" s="1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2"/>
      <c r="B801" s="1"/>
      <c r="C801" s="13"/>
      <c r="D801" s="1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2"/>
      <c r="B802" s="1"/>
      <c r="C802" s="13"/>
      <c r="D802" s="1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2"/>
      <c r="B803" s="1"/>
      <c r="C803" s="13"/>
      <c r="D803" s="1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2"/>
      <c r="B804" s="1"/>
      <c r="C804" s="13"/>
      <c r="D804" s="1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2"/>
      <c r="B805" s="1"/>
      <c r="C805" s="13"/>
      <c r="D805" s="1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2"/>
      <c r="B806" s="1"/>
      <c r="C806" s="13"/>
      <c r="D806" s="1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2"/>
      <c r="B807" s="1"/>
      <c r="C807" s="13"/>
      <c r="D807" s="1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2"/>
      <c r="B808" s="1"/>
      <c r="C808" s="13"/>
      <c r="D808" s="1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2"/>
      <c r="B809" s="1"/>
      <c r="C809" s="13"/>
      <c r="D809" s="1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2"/>
      <c r="B810" s="1"/>
      <c r="C810" s="13"/>
      <c r="D810" s="1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2"/>
      <c r="B811" s="1"/>
      <c r="C811" s="13"/>
      <c r="D811" s="1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2"/>
      <c r="B812" s="1"/>
      <c r="C812" s="13"/>
      <c r="D812" s="1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2"/>
      <c r="B813" s="1"/>
      <c r="C813" s="13"/>
      <c r="D813" s="1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2"/>
      <c r="B814" s="1"/>
      <c r="C814" s="13"/>
      <c r="D814" s="1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2"/>
      <c r="B815" s="1"/>
      <c r="C815" s="13"/>
      <c r="D815" s="1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2"/>
      <c r="B816" s="1"/>
      <c r="C816" s="13"/>
      <c r="D816" s="1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2"/>
      <c r="B817" s="1"/>
      <c r="C817" s="13"/>
      <c r="D817" s="1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2"/>
      <c r="B818" s="1"/>
      <c r="C818" s="13"/>
      <c r="D818" s="1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2"/>
      <c r="B819" s="1"/>
      <c r="C819" s="13"/>
      <c r="D819" s="1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2"/>
      <c r="B820" s="1"/>
      <c r="C820" s="13"/>
      <c r="D820" s="1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2"/>
      <c r="B821" s="1"/>
      <c r="C821" s="13"/>
      <c r="D821" s="1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2"/>
      <c r="B822" s="1"/>
      <c r="C822" s="13"/>
      <c r="D822" s="1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2"/>
      <c r="B823" s="1"/>
      <c r="C823" s="13"/>
      <c r="D823" s="1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2"/>
      <c r="B824" s="1"/>
      <c r="C824" s="13"/>
      <c r="D824" s="1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2"/>
      <c r="B825" s="1"/>
      <c r="C825" s="13"/>
      <c r="D825" s="1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2"/>
      <c r="B826" s="1"/>
      <c r="C826" s="13"/>
      <c r="D826" s="1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2"/>
      <c r="B827" s="1"/>
      <c r="C827" s="13"/>
      <c r="D827" s="1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2"/>
      <c r="B828" s="1"/>
      <c r="C828" s="13"/>
      <c r="D828" s="1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2"/>
      <c r="B829" s="1"/>
      <c r="C829" s="13"/>
      <c r="D829" s="1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2"/>
      <c r="B830" s="1"/>
      <c r="C830" s="13"/>
      <c r="D830" s="1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2"/>
      <c r="B831" s="1"/>
      <c r="C831" s="13"/>
      <c r="D831" s="1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2"/>
      <c r="B832" s="1"/>
      <c r="C832" s="13"/>
      <c r="D832" s="1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2"/>
      <c r="B833" s="1"/>
      <c r="C833" s="13"/>
      <c r="D833" s="1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2"/>
      <c r="B834" s="1"/>
      <c r="C834" s="13"/>
      <c r="D834" s="1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2"/>
      <c r="B835" s="1"/>
      <c r="C835" s="13"/>
      <c r="D835" s="1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2"/>
      <c r="B836" s="1"/>
      <c r="C836" s="13"/>
      <c r="D836" s="1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2"/>
      <c r="B837" s="1"/>
      <c r="C837" s="13"/>
      <c r="D837" s="1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2"/>
      <c r="B838" s="1"/>
      <c r="C838" s="13"/>
      <c r="D838" s="1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2"/>
      <c r="B839" s="1"/>
      <c r="C839" s="13"/>
      <c r="D839" s="1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2"/>
      <c r="B840" s="1"/>
      <c r="C840" s="13"/>
      <c r="D840" s="1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2"/>
      <c r="B841" s="1"/>
      <c r="C841" s="13"/>
      <c r="D841" s="1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2"/>
      <c r="B842" s="1"/>
      <c r="C842" s="13"/>
      <c r="D842" s="1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2"/>
      <c r="B843" s="1"/>
      <c r="C843" s="13"/>
      <c r="D843" s="1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2"/>
      <c r="B844" s="1"/>
      <c r="C844" s="13"/>
      <c r="D844" s="1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2"/>
      <c r="B845" s="1"/>
      <c r="C845" s="13"/>
      <c r="D845" s="1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2"/>
      <c r="B846" s="1"/>
      <c r="C846" s="13"/>
      <c r="D846" s="1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2"/>
      <c r="B847" s="1"/>
      <c r="C847" s="13"/>
      <c r="D847" s="1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2"/>
      <c r="B848" s="1"/>
      <c r="C848" s="13"/>
      <c r="D848" s="1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2"/>
      <c r="B849" s="1"/>
      <c r="C849" s="13"/>
      <c r="D849" s="1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2"/>
      <c r="B850" s="1"/>
      <c r="C850" s="13"/>
      <c r="D850" s="1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2"/>
      <c r="B851" s="1"/>
      <c r="C851" s="13"/>
      <c r="D851" s="1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2"/>
      <c r="B852" s="1"/>
      <c r="C852" s="13"/>
      <c r="D852" s="1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2"/>
      <c r="B853" s="1"/>
      <c r="C853" s="13"/>
      <c r="D853" s="1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2"/>
      <c r="B854" s="1"/>
      <c r="C854" s="13"/>
      <c r="D854" s="1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2"/>
      <c r="B855" s="1"/>
      <c r="C855" s="13"/>
      <c r="D855" s="1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2"/>
      <c r="B856" s="1"/>
      <c r="C856" s="13"/>
      <c r="D856" s="1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2"/>
      <c r="B857" s="1"/>
      <c r="C857" s="13"/>
      <c r="D857" s="1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2"/>
      <c r="B858" s="1"/>
      <c r="C858" s="13"/>
      <c r="D858" s="1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2"/>
      <c r="B859" s="1"/>
      <c r="C859" s="13"/>
      <c r="D859" s="1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2"/>
      <c r="B860" s="1"/>
      <c r="C860" s="13"/>
      <c r="D860" s="1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2"/>
      <c r="B861" s="1"/>
      <c r="C861" s="13"/>
      <c r="D861" s="1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2"/>
      <c r="B862" s="1"/>
      <c r="C862" s="13"/>
      <c r="D862" s="1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2"/>
      <c r="B863" s="1"/>
      <c r="C863" s="13"/>
      <c r="D863" s="1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2"/>
      <c r="B864" s="1"/>
      <c r="C864" s="13"/>
      <c r="D864" s="1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2"/>
      <c r="B865" s="1"/>
      <c r="C865" s="13"/>
      <c r="D865" s="1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2"/>
      <c r="B866" s="1"/>
      <c r="C866" s="13"/>
      <c r="D866" s="1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2"/>
      <c r="B867" s="1"/>
      <c r="C867" s="13"/>
      <c r="D867" s="1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2"/>
      <c r="B868" s="1"/>
      <c r="C868" s="13"/>
      <c r="D868" s="1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2"/>
      <c r="B869" s="1"/>
      <c r="C869" s="13"/>
      <c r="D869" s="1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2"/>
      <c r="B870" s="1"/>
      <c r="C870" s="13"/>
      <c r="D870" s="1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2"/>
      <c r="B871" s="1"/>
      <c r="C871" s="13"/>
      <c r="D871" s="1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2"/>
      <c r="B872" s="1"/>
      <c r="C872" s="13"/>
      <c r="D872" s="1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2"/>
      <c r="B873" s="1"/>
      <c r="C873" s="13"/>
      <c r="D873" s="1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2"/>
      <c r="B874" s="1"/>
      <c r="C874" s="13"/>
      <c r="D874" s="1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2"/>
      <c r="B875" s="1"/>
      <c r="C875" s="13"/>
      <c r="D875" s="1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2"/>
      <c r="B876" s="1"/>
      <c r="C876" s="13"/>
      <c r="D876" s="1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2"/>
      <c r="B877" s="1"/>
      <c r="C877" s="13"/>
      <c r="D877" s="1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2"/>
      <c r="B878" s="1"/>
      <c r="C878" s="13"/>
      <c r="D878" s="1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2"/>
      <c r="B879" s="1"/>
      <c r="C879" s="13"/>
      <c r="D879" s="1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2"/>
      <c r="B880" s="1"/>
      <c r="C880" s="13"/>
      <c r="D880" s="1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2"/>
      <c r="B881" s="1"/>
      <c r="C881" s="13"/>
      <c r="D881" s="1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2"/>
      <c r="B882" s="1"/>
      <c r="C882" s="13"/>
      <c r="D882" s="1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2"/>
      <c r="B883" s="1"/>
      <c r="C883" s="13"/>
      <c r="D883" s="1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2"/>
      <c r="B884" s="1"/>
      <c r="C884" s="13"/>
      <c r="D884" s="1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2"/>
      <c r="B885" s="1"/>
      <c r="C885" s="13"/>
      <c r="D885" s="1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2"/>
      <c r="B886" s="1"/>
      <c r="C886" s="13"/>
      <c r="D886" s="1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2"/>
      <c r="B887" s="1"/>
      <c r="C887" s="13"/>
      <c r="D887" s="1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2"/>
      <c r="B888" s="1"/>
      <c r="C888" s="13"/>
      <c r="D888" s="1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2"/>
      <c r="B889" s="1"/>
      <c r="C889" s="13"/>
      <c r="D889" s="1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2"/>
      <c r="B890" s="1"/>
      <c r="C890" s="13"/>
      <c r="D890" s="1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2"/>
      <c r="B891" s="1"/>
      <c r="C891" s="13"/>
      <c r="D891" s="1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2"/>
      <c r="B892" s="1"/>
      <c r="C892" s="13"/>
      <c r="D892" s="1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2"/>
      <c r="B893" s="1"/>
      <c r="C893" s="13"/>
      <c r="D893" s="1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2"/>
      <c r="B894" s="1"/>
      <c r="C894" s="13"/>
      <c r="D894" s="1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2"/>
      <c r="B895" s="1"/>
      <c r="C895" s="13"/>
      <c r="D895" s="1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2"/>
      <c r="B896" s="1"/>
      <c r="C896" s="13"/>
      <c r="D896" s="1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2"/>
      <c r="B897" s="1"/>
      <c r="C897" s="13"/>
      <c r="D897" s="1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2"/>
      <c r="B898" s="1"/>
      <c r="C898" s="13"/>
      <c r="D898" s="1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2"/>
      <c r="B899" s="1"/>
      <c r="C899" s="13"/>
      <c r="D899" s="1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2"/>
      <c r="B900" s="1"/>
      <c r="C900" s="13"/>
      <c r="D900" s="1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2"/>
      <c r="B901" s="1"/>
      <c r="C901" s="13"/>
      <c r="D901" s="1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2"/>
      <c r="B902" s="1"/>
      <c r="C902" s="13"/>
      <c r="D902" s="1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2"/>
      <c r="B903" s="1"/>
      <c r="C903" s="13"/>
      <c r="D903" s="1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2"/>
      <c r="B904" s="1"/>
      <c r="C904" s="13"/>
      <c r="D904" s="1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2"/>
      <c r="B905" s="1"/>
      <c r="C905" s="13"/>
      <c r="D905" s="1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2"/>
      <c r="B906" s="1"/>
      <c r="C906" s="13"/>
      <c r="D906" s="1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2"/>
      <c r="B907" s="1"/>
      <c r="C907" s="13"/>
      <c r="D907" s="1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2"/>
      <c r="B908" s="1"/>
      <c r="C908" s="13"/>
      <c r="D908" s="1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2"/>
      <c r="B909" s="1"/>
      <c r="C909" s="13"/>
      <c r="D909" s="1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2"/>
      <c r="B910" s="1"/>
      <c r="C910" s="13"/>
      <c r="D910" s="1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2"/>
      <c r="B911" s="1"/>
      <c r="C911" s="13"/>
      <c r="D911" s="1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2"/>
      <c r="B912" s="1"/>
      <c r="C912" s="13"/>
      <c r="D912" s="1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2"/>
      <c r="B913" s="1"/>
      <c r="C913" s="13"/>
      <c r="D913" s="1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2"/>
      <c r="B914" s="1"/>
      <c r="C914" s="13"/>
      <c r="D914" s="1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2"/>
      <c r="B915" s="1"/>
      <c r="C915" s="13"/>
      <c r="D915" s="1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2"/>
      <c r="B916" s="1"/>
      <c r="C916" s="13"/>
      <c r="D916" s="1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2"/>
      <c r="B917" s="1"/>
      <c r="C917" s="13"/>
      <c r="D917" s="1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2"/>
      <c r="B918" s="1"/>
      <c r="C918" s="13"/>
      <c r="D918" s="1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2"/>
      <c r="B919" s="1"/>
      <c r="C919" s="13"/>
      <c r="D919" s="1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2"/>
      <c r="B920" s="1"/>
      <c r="C920" s="13"/>
      <c r="D920" s="1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2"/>
      <c r="B921" s="1"/>
      <c r="C921" s="13"/>
      <c r="D921" s="1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2"/>
      <c r="B922" s="1"/>
      <c r="C922" s="13"/>
      <c r="D922" s="1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2"/>
      <c r="B923" s="1"/>
      <c r="C923" s="13"/>
      <c r="D923" s="1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2"/>
      <c r="B924" s="1"/>
      <c r="C924" s="13"/>
      <c r="D924" s="1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2"/>
      <c r="B925" s="1"/>
      <c r="C925" s="13"/>
      <c r="D925" s="1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2"/>
      <c r="B926" s="1"/>
      <c r="C926" s="13"/>
      <c r="D926" s="1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2"/>
      <c r="B927" s="1"/>
      <c r="C927" s="13"/>
      <c r="D927" s="1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2"/>
      <c r="B928" s="1"/>
      <c r="C928" s="13"/>
      <c r="D928" s="1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2"/>
      <c r="B929" s="1"/>
      <c r="C929" s="13"/>
      <c r="D929" s="1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2"/>
      <c r="B930" s="1"/>
      <c r="C930" s="13"/>
      <c r="D930" s="1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2"/>
      <c r="B931" s="1"/>
      <c r="C931" s="13"/>
      <c r="D931" s="1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2"/>
      <c r="B932" s="1"/>
      <c r="C932" s="13"/>
      <c r="D932" s="1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2"/>
      <c r="B933" s="1"/>
      <c r="C933" s="13"/>
      <c r="D933" s="1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2"/>
      <c r="B934" s="1"/>
      <c r="C934" s="13"/>
      <c r="D934" s="1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2"/>
      <c r="B935" s="1"/>
      <c r="C935" s="13"/>
      <c r="D935" s="1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2"/>
      <c r="B936" s="1"/>
      <c r="C936" s="13"/>
      <c r="D936" s="1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2"/>
      <c r="B937" s="1"/>
      <c r="C937" s="13"/>
      <c r="D937" s="1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2"/>
      <c r="B938" s="1"/>
      <c r="C938" s="13"/>
      <c r="D938" s="1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2"/>
      <c r="B939" s="1"/>
      <c r="C939" s="13"/>
      <c r="D939" s="1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2"/>
      <c r="B940" s="1"/>
      <c r="C940" s="13"/>
      <c r="D940" s="1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2"/>
      <c r="B941" s="1"/>
      <c r="C941" s="13"/>
      <c r="D941" s="1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2"/>
      <c r="B942" s="1"/>
      <c r="C942" s="13"/>
      <c r="D942" s="1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2"/>
      <c r="B943" s="1"/>
      <c r="C943" s="13"/>
      <c r="D943" s="1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2"/>
      <c r="B944" s="1"/>
      <c r="C944" s="13"/>
      <c r="D944" s="1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2"/>
      <c r="B945" s="1"/>
      <c r="C945" s="13"/>
      <c r="D945" s="1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2"/>
      <c r="B946" s="1"/>
      <c r="C946" s="13"/>
      <c r="D946" s="1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2"/>
      <c r="B947" s="1"/>
      <c r="C947" s="13"/>
      <c r="D947" s="1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2"/>
      <c r="B948" s="1"/>
      <c r="C948" s="13"/>
      <c r="D948" s="1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12"/>
      <c r="B949" s="1"/>
      <c r="C949" s="13"/>
      <c r="D949" s="1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12"/>
      <c r="B950" s="1"/>
      <c r="C950" s="13"/>
      <c r="D950" s="1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12"/>
      <c r="B951" s="1"/>
      <c r="C951" s="13"/>
      <c r="D951" s="1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12"/>
      <c r="B952" s="1"/>
      <c r="C952" s="13"/>
      <c r="D952" s="1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12"/>
      <c r="B953" s="1"/>
      <c r="C953" s="13"/>
      <c r="D953" s="1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12"/>
      <c r="B954" s="1"/>
      <c r="C954" s="13"/>
      <c r="D954" s="1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12"/>
      <c r="B955" s="1"/>
      <c r="C955" s="13"/>
      <c r="D955" s="1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12"/>
      <c r="B956" s="1"/>
      <c r="C956" s="13"/>
      <c r="D956" s="1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12"/>
      <c r="B957" s="1"/>
      <c r="C957" s="13"/>
      <c r="D957" s="1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12"/>
      <c r="B958" s="1"/>
      <c r="C958" s="13"/>
      <c r="D958" s="1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12"/>
      <c r="B959" s="1"/>
      <c r="C959" s="13"/>
      <c r="D959" s="1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12"/>
      <c r="B960" s="1"/>
      <c r="C960" s="13"/>
      <c r="D960" s="1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12"/>
      <c r="B961" s="1"/>
      <c r="C961" s="13"/>
      <c r="D961" s="1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12"/>
      <c r="B962" s="1"/>
      <c r="C962" s="13"/>
      <c r="D962" s="1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12"/>
      <c r="B963" s="1"/>
      <c r="C963" s="13"/>
      <c r="D963" s="1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12"/>
      <c r="B964" s="1"/>
      <c r="C964" s="13"/>
      <c r="D964" s="1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12"/>
      <c r="B965" s="1"/>
      <c r="C965" s="13"/>
      <c r="D965" s="1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12"/>
      <c r="B966" s="1"/>
      <c r="C966" s="13"/>
      <c r="D966" s="1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12"/>
      <c r="B967" s="1"/>
      <c r="C967" s="13"/>
      <c r="D967" s="1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12"/>
      <c r="B968" s="1"/>
      <c r="C968" s="13"/>
      <c r="D968" s="1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12"/>
      <c r="B969" s="1"/>
      <c r="C969" s="13"/>
      <c r="D969" s="1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12"/>
      <c r="B970" s="1"/>
      <c r="C970" s="13"/>
      <c r="D970" s="1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12"/>
      <c r="B971" s="1"/>
      <c r="C971" s="13"/>
      <c r="D971" s="1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12"/>
      <c r="B972" s="1"/>
      <c r="C972" s="13"/>
      <c r="D972" s="1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12"/>
      <c r="B973" s="1"/>
      <c r="C973" s="13"/>
      <c r="D973" s="1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12"/>
      <c r="B974" s="1"/>
      <c r="C974" s="13"/>
      <c r="D974" s="1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12"/>
      <c r="B975" s="1"/>
      <c r="C975" s="13"/>
      <c r="D975" s="1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12"/>
      <c r="B976" s="1"/>
      <c r="C976" s="13"/>
      <c r="D976" s="1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12"/>
      <c r="B977" s="1"/>
      <c r="C977" s="13"/>
      <c r="D977" s="1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12"/>
      <c r="B978" s="1"/>
      <c r="C978" s="13"/>
      <c r="D978" s="1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12"/>
      <c r="B979" s="1"/>
      <c r="C979" s="13"/>
      <c r="D979" s="1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12"/>
      <c r="B980" s="1"/>
      <c r="C980" s="13"/>
      <c r="D980" s="1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12"/>
      <c r="B981" s="1"/>
      <c r="C981" s="13"/>
      <c r="D981" s="1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12"/>
      <c r="B982" s="1"/>
      <c r="C982" s="13"/>
      <c r="D982" s="1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12"/>
      <c r="B983" s="1"/>
      <c r="C983" s="13"/>
      <c r="D983" s="1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12"/>
      <c r="B984" s="1"/>
      <c r="C984" s="13"/>
      <c r="D984" s="1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12"/>
      <c r="B985" s="1"/>
      <c r="C985" s="13"/>
      <c r="D985" s="1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12"/>
      <c r="B986" s="1"/>
      <c r="C986" s="13"/>
      <c r="D986" s="1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12"/>
      <c r="B987" s="1"/>
      <c r="C987" s="13"/>
      <c r="D987" s="1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A988" s="12"/>
      <c r="B988" s="1"/>
      <c r="C988" s="13"/>
      <c r="D988" s="1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A989" s="12"/>
      <c r="B989" s="1"/>
      <c r="C989" s="13"/>
      <c r="D989" s="1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A990" s="12"/>
      <c r="B990" s="1"/>
      <c r="C990" s="13"/>
      <c r="D990" s="1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">
      <c r="A991" s="12"/>
      <c r="B991" s="1"/>
      <c r="C991" s="13"/>
      <c r="D991" s="1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">
      <c r="A992" s="12"/>
      <c r="B992" s="1"/>
      <c r="C992" s="13"/>
      <c r="D992" s="1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">
      <c r="A993" s="12"/>
      <c r="B993" s="1"/>
      <c r="C993" s="13"/>
      <c r="D993" s="1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">
      <c r="A994" s="12"/>
      <c r="B994" s="1"/>
      <c r="C994" s="13"/>
      <c r="D994" s="1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">
      <c r="A995" s="12"/>
      <c r="B995" s="1"/>
      <c r="C995" s="13"/>
      <c r="D995" s="1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">
      <c r="A996" s="12"/>
      <c r="B996" s="1"/>
      <c r="C996" s="13"/>
      <c r="D996" s="1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">
      <c r="A997" s="12"/>
      <c r="B997" s="1"/>
      <c r="C997" s="13"/>
      <c r="D997" s="1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">
      <c r="A998" s="12"/>
      <c r="B998" s="1"/>
      <c r="C998" s="13"/>
      <c r="D998" s="1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">
      <c r="A999" s="12"/>
      <c r="B999" s="1"/>
      <c r="C999" s="13"/>
      <c r="D999" s="1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">
      <c r="A1000" s="12"/>
      <c r="B1000" s="1"/>
      <c r="C1000" s="13"/>
      <c r="D1000" s="1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 x14ac:dyDescent="0.2">
      <c r="A1001" s="12"/>
      <c r="B1001" s="1"/>
      <c r="C1001" s="13"/>
      <c r="D1001" s="14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 x14ac:dyDescent="0.2">
      <c r="A1002" s="12"/>
      <c r="B1002" s="1"/>
      <c r="C1002" s="13"/>
      <c r="D1002" s="14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56">
    <mergeCell ref="D42:J42"/>
    <mergeCell ref="B31:D31"/>
    <mergeCell ref="B32:D32"/>
    <mergeCell ref="B33:D33"/>
    <mergeCell ref="B34:D34"/>
    <mergeCell ref="A38:J38"/>
    <mergeCell ref="A39:C39"/>
    <mergeCell ref="D39:J39"/>
    <mergeCell ref="A40:C40"/>
    <mergeCell ref="D40:J40"/>
    <mergeCell ref="A41:C41"/>
    <mergeCell ref="D41:J41"/>
    <mergeCell ref="A42:C42"/>
    <mergeCell ref="A1:B2"/>
    <mergeCell ref="C1:P1"/>
    <mergeCell ref="Q1:R1"/>
    <mergeCell ref="C2:P2"/>
    <mergeCell ref="Q2:R2"/>
    <mergeCell ref="C4:R4"/>
    <mergeCell ref="A5:R5"/>
    <mergeCell ref="I7:M7"/>
    <mergeCell ref="N7:P7"/>
    <mergeCell ref="D8:R8"/>
    <mergeCell ref="A9:I9"/>
    <mergeCell ref="J9:R9"/>
    <mergeCell ref="A10:I10"/>
    <mergeCell ref="J10:R10"/>
    <mergeCell ref="A6:D6"/>
    <mergeCell ref="E6:H6"/>
    <mergeCell ref="I6:M6"/>
    <mergeCell ref="N6:P6"/>
    <mergeCell ref="Q6:R6"/>
    <mergeCell ref="Q7:R7"/>
    <mergeCell ref="E7:H7"/>
    <mergeCell ref="A7:D7"/>
    <mergeCell ref="A8:C8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7:D27"/>
    <mergeCell ref="B28:D28"/>
    <mergeCell ref="B29:D29"/>
    <mergeCell ref="B30:D30"/>
    <mergeCell ref="B21:D21"/>
    <mergeCell ref="B22:D22"/>
    <mergeCell ref="B24:D24"/>
    <mergeCell ref="B25:D25"/>
    <mergeCell ref="B26:D26"/>
    <mergeCell ref="B23:D23"/>
  </mergeCells>
  <printOptions horizontalCentered="1"/>
  <pageMargins left="0.70866141732283472" right="0.70866141732283472" top="0.74803149606299213" bottom="0.74803149606299213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21"/>
  <sheetViews>
    <sheetView topLeftCell="A23" zoomScale="80" zoomScaleNormal="80" workbookViewId="0">
      <selection activeCell="B147" sqref="B147:D147"/>
    </sheetView>
  </sheetViews>
  <sheetFormatPr baseColWidth="10" defaultColWidth="10.140625" defaultRowHeight="15" customHeight="1" x14ac:dyDescent="0.2"/>
  <cols>
    <col min="1" max="1" width="14" customWidth="1"/>
    <col min="2" max="2" width="67.140625" customWidth="1"/>
    <col min="3" max="3" width="28.42578125" customWidth="1"/>
    <col min="4" max="4" width="44.140625" customWidth="1"/>
    <col min="5" max="5" width="14.85546875" customWidth="1"/>
    <col min="6" max="6" width="15.85546875" customWidth="1"/>
    <col min="7" max="7" width="19.85546875" customWidth="1"/>
    <col min="8" max="8" width="17.140625" customWidth="1"/>
    <col min="9" max="9" width="63.140625" bestFit="1" customWidth="1"/>
    <col min="10" max="10" width="19.85546875" customWidth="1"/>
    <col min="11" max="12" width="20.85546875" customWidth="1"/>
    <col min="13" max="13" width="26.5703125" customWidth="1"/>
    <col min="14" max="14" width="35.85546875" customWidth="1"/>
    <col min="15" max="15" width="47" customWidth="1"/>
    <col min="16" max="16" width="44.140625" customWidth="1"/>
    <col min="17" max="17" width="36.140625" customWidth="1"/>
    <col min="18" max="18" width="125.85546875" customWidth="1"/>
    <col min="19" max="19" width="22.85546875" customWidth="1"/>
    <col min="20" max="27" width="11" customWidth="1"/>
  </cols>
  <sheetData>
    <row r="1" spans="1:27" ht="34.5" customHeight="1" x14ac:dyDescent="0.2">
      <c r="A1" s="176"/>
      <c r="B1" s="150"/>
      <c r="C1" s="153" t="s">
        <v>0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2"/>
      <c r="Q1" s="153" t="s">
        <v>1</v>
      </c>
      <c r="R1" s="132"/>
      <c r="S1" s="16"/>
      <c r="T1" s="16"/>
      <c r="U1" s="16"/>
      <c r="V1" s="16"/>
      <c r="W1" s="16"/>
      <c r="X1" s="16"/>
      <c r="Y1" s="16"/>
      <c r="Z1" s="16"/>
      <c r="AA1" s="16"/>
    </row>
    <row r="2" spans="1:27" ht="232.25" customHeight="1" x14ac:dyDescent="0.2">
      <c r="A2" s="151"/>
      <c r="B2" s="152"/>
      <c r="C2" s="153" t="s">
        <v>2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53" t="s">
        <v>3</v>
      </c>
      <c r="R2" s="132"/>
      <c r="S2" s="16"/>
      <c r="T2" s="16"/>
      <c r="U2" s="16"/>
      <c r="V2" s="16"/>
      <c r="W2" s="16"/>
      <c r="X2" s="16"/>
      <c r="Y2" s="16"/>
      <c r="Z2" s="16"/>
      <c r="AA2" s="16"/>
    </row>
    <row r="3" spans="1:27" ht="30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6"/>
      <c r="T3" s="16"/>
      <c r="U3" s="16"/>
      <c r="V3" s="16"/>
      <c r="W3" s="16"/>
      <c r="X3" s="16"/>
      <c r="Y3" s="16"/>
      <c r="Z3" s="16"/>
      <c r="AA3" s="16"/>
    </row>
    <row r="4" spans="1:27" ht="30" customHeight="1" x14ac:dyDescent="0.2">
      <c r="A4" s="3" t="s">
        <v>4</v>
      </c>
      <c r="B4" s="3"/>
      <c r="C4" s="145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2"/>
      <c r="S4" s="16"/>
      <c r="T4" s="16"/>
      <c r="U4" s="16"/>
      <c r="V4" s="16"/>
      <c r="W4" s="16"/>
      <c r="X4" s="16"/>
      <c r="Y4" s="16"/>
      <c r="Z4" s="16"/>
      <c r="AA4" s="16"/>
    </row>
    <row r="5" spans="1:27" ht="30" customHeight="1" x14ac:dyDescent="0.2">
      <c r="A5" s="146" t="s">
        <v>5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2"/>
      <c r="S5" s="16"/>
      <c r="T5" s="16"/>
      <c r="U5" s="16"/>
      <c r="V5" s="16"/>
      <c r="W5" s="16"/>
      <c r="X5" s="16"/>
      <c r="Y5" s="16"/>
      <c r="Z5" s="16"/>
      <c r="AA5" s="16"/>
    </row>
    <row r="6" spans="1:27" ht="30" customHeight="1" x14ac:dyDescent="0.2">
      <c r="A6" s="177" t="s">
        <v>6</v>
      </c>
      <c r="B6" s="131"/>
      <c r="C6" s="131"/>
      <c r="D6" s="132"/>
      <c r="E6" s="177" t="s">
        <v>7</v>
      </c>
      <c r="F6" s="131"/>
      <c r="G6" s="131"/>
      <c r="H6" s="132"/>
      <c r="I6" s="177" t="s">
        <v>8</v>
      </c>
      <c r="J6" s="131"/>
      <c r="K6" s="131"/>
      <c r="L6" s="131"/>
      <c r="M6" s="132"/>
      <c r="N6" s="177" t="s">
        <v>9</v>
      </c>
      <c r="O6" s="131"/>
      <c r="P6" s="132"/>
      <c r="Q6" s="177" t="s">
        <v>10</v>
      </c>
      <c r="R6" s="132"/>
      <c r="S6" s="16"/>
      <c r="T6" s="16"/>
      <c r="U6" s="16"/>
      <c r="V6" s="16"/>
      <c r="W6" s="16"/>
      <c r="X6" s="16"/>
      <c r="Y6" s="16"/>
      <c r="Z6" s="16"/>
      <c r="AA6" s="16"/>
    </row>
    <row r="7" spans="1:27" ht="93.5" customHeight="1" x14ac:dyDescent="0.2">
      <c r="A7" s="139">
        <f>'DOCUMENTO INTERNO'!A7:D7</f>
        <v>0</v>
      </c>
      <c r="B7" s="140"/>
      <c r="C7" s="140"/>
      <c r="D7" s="141"/>
      <c r="E7" s="139">
        <f>'DOCUMENTO INTERNO'!E7:H7</f>
        <v>0</v>
      </c>
      <c r="F7" s="140"/>
      <c r="G7" s="140"/>
      <c r="H7" s="141"/>
      <c r="I7" s="139">
        <f>'DOCUMENTO INTERNO'!I7:M7</f>
        <v>0</v>
      </c>
      <c r="J7" s="140"/>
      <c r="K7" s="140"/>
      <c r="L7" s="140"/>
      <c r="M7" s="141"/>
      <c r="N7" s="147">
        <f>'DOCUMENTO INTERNO'!N7:P7</f>
        <v>0</v>
      </c>
      <c r="O7" s="140"/>
      <c r="P7" s="141"/>
      <c r="Q7" s="138"/>
      <c r="R7" s="132"/>
      <c r="S7" s="16"/>
      <c r="T7" s="16"/>
      <c r="U7" s="16"/>
      <c r="V7" s="16"/>
      <c r="W7" s="16"/>
      <c r="X7" s="16"/>
      <c r="Y7" s="16"/>
      <c r="Z7" s="16"/>
      <c r="AA7" s="16"/>
    </row>
    <row r="8" spans="1:27" ht="30" customHeight="1" x14ac:dyDescent="0.2">
      <c r="A8" s="130" t="s">
        <v>11</v>
      </c>
      <c r="B8" s="131"/>
      <c r="C8" s="132"/>
      <c r="D8" s="153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2"/>
      <c r="S8" s="16"/>
      <c r="T8" s="16"/>
      <c r="U8" s="16"/>
      <c r="V8" s="16"/>
      <c r="W8" s="16"/>
      <c r="X8" s="16"/>
      <c r="Y8" s="16"/>
      <c r="Z8" s="16"/>
      <c r="AA8" s="16"/>
    </row>
    <row r="9" spans="1:27" ht="30" customHeight="1" x14ac:dyDescent="0.2">
      <c r="A9" s="130" t="s">
        <v>12</v>
      </c>
      <c r="B9" s="131"/>
      <c r="C9" s="131"/>
      <c r="D9" s="131"/>
      <c r="E9" s="131"/>
      <c r="F9" s="131"/>
      <c r="G9" s="131"/>
      <c r="H9" s="131"/>
      <c r="I9" s="132"/>
      <c r="J9" s="130" t="s">
        <v>13</v>
      </c>
      <c r="K9" s="131"/>
      <c r="L9" s="131"/>
      <c r="M9" s="131"/>
      <c r="N9" s="131"/>
      <c r="O9" s="131"/>
      <c r="P9" s="131"/>
      <c r="Q9" s="131"/>
      <c r="R9" s="132"/>
      <c r="S9" s="16"/>
      <c r="T9" s="16"/>
      <c r="U9" s="16"/>
      <c r="V9" s="16"/>
      <c r="W9" s="16"/>
      <c r="X9" s="16"/>
      <c r="Y9" s="16"/>
      <c r="Z9" s="16"/>
      <c r="AA9" s="16"/>
    </row>
    <row r="10" spans="1:27" ht="30" customHeight="1" x14ac:dyDescent="0.2">
      <c r="A10" s="133"/>
      <c r="B10" s="131"/>
      <c r="C10" s="131"/>
      <c r="D10" s="131"/>
      <c r="E10" s="131"/>
      <c r="F10" s="131"/>
      <c r="G10" s="131"/>
      <c r="H10" s="131"/>
      <c r="I10" s="132"/>
      <c r="J10" s="134"/>
      <c r="K10" s="131"/>
      <c r="L10" s="131"/>
      <c r="M10" s="131"/>
      <c r="N10" s="131"/>
      <c r="O10" s="131"/>
      <c r="P10" s="131"/>
      <c r="Q10" s="131"/>
      <c r="R10" s="132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4.5" customHeight="1" x14ac:dyDescent="0.2">
      <c r="A11" s="4" t="s">
        <v>14</v>
      </c>
      <c r="B11" s="130" t="s">
        <v>15</v>
      </c>
      <c r="C11" s="131"/>
      <c r="D11" s="132"/>
      <c r="E11" s="5" t="s">
        <v>16</v>
      </c>
      <c r="F11" s="5" t="s">
        <v>17</v>
      </c>
      <c r="G11" s="5" t="s">
        <v>18</v>
      </c>
      <c r="H11" s="4" t="s">
        <v>19</v>
      </c>
      <c r="I11" s="4" t="s">
        <v>20</v>
      </c>
      <c r="J11" s="4" t="s">
        <v>21</v>
      </c>
      <c r="K11" s="6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Q11" s="4" t="s">
        <v>28</v>
      </c>
      <c r="R11" s="4" t="s">
        <v>29</v>
      </c>
      <c r="S11" s="2"/>
      <c r="T11" s="2"/>
      <c r="U11" s="2"/>
      <c r="V11" s="2"/>
      <c r="W11" s="2"/>
      <c r="X11" s="2"/>
      <c r="Y11" s="2"/>
      <c r="Z11" s="2"/>
      <c r="AA11" s="2"/>
    </row>
    <row r="12" spans="1:27" ht="67.5" customHeight="1" x14ac:dyDescent="0.2">
      <c r="A12" s="50">
        <v>1</v>
      </c>
      <c r="B12" s="129" t="s">
        <v>88</v>
      </c>
      <c r="C12" s="123"/>
      <c r="D12" s="124"/>
      <c r="E12" s="8" t="s">
        <v>458</v>
      </c>
      <c r="F12" s="8" t="s">
        <v>89</v>
      </c>
      <c r="G12" s="9" t="s">
        <v>33</v>
      </c>
      <c r="H12" s="10" t="s">
        <v>34</v>
      </c>
      <c r="I12" s="8" t="str">
        <f>_xlfn.CONCAT(B12," ",E12,"-",F12,"-",G12," Ver. ",H12," de fecha 7/07/2025")</f>
        <v>LISTA MAESTRA  DE DOCUMENTOS  GSI-FO-001 Ver. 00 de fecha 7/07/2025</v>
      </c>
      <c r="J12" s="49"/>
      <c r="K12" s="11" t="s">
        <v>31</v>
      </c>
      <c r="L12" s="8" t="s">
        <v>36</v>
      </c>
      <c r="M12" s="11" t="s">
        <v>90</v>
      </c>
      <c r="N12" s="11" t="s">
        <v>38</v>
      </c>
      <c r="O12" s="11" t="s">
        <v>91</v>
      </c>
      <c r="P12" s="8" t="s">
        <v>40</v>
      </c>
      <c r="Q12" s="8" t="s">
        <v>41</v>
      </c>
      <c r="R12" s="52" t="s">
        <v>394</v>
      </c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67.5" customHeight="1" x14ac:dyDescent="0.2">
      <c r="A13" s="50">
        <v>2</v>
      </c>
      <c r="B13" s="129" t="s">
        <v>92</v>
      </c>
      <c r="C13" s="123"/>
      <c r="D13" s="124"/>
      <c r="E13" s="8" t="s">
        <v>458</v>
      </c>
      <c r="F13" s="8" t="s">
        <v>89</v>
      </c>
      <c r="G13" s="9" t="s">
        <v>43</v>
      </c>
      <c r="H13" s="10" t="s">
        <v>34</v>
      </c>
      <c r="I13" s="8" t="str">
        <f t="shared" ref="I13:I76" si="0">_xlfn.CONCAT(B13," ",E13,"-",F13,"-",G13," Ver. ",H13," de fecha 7/07/2025")</f>
        <v>PROGRAMA ANUAL DE AUDITORÍAS  GSI-FO-002 Ver. 00 de fecha 7/07/2025</v>
      </c>
      <c r="J13" s="49"/>
      <c r="K13" s="11" t="s">
        <v>31</v>
      </c>
      <c r="L13" s="8" t="s">
        <v>36</v>
      </c>
      <c r="M13" s="11" t="s">
        <v>93</v>
      </c>
      <c r="N13" s="11" t="s">
        <v>38</v>
      </c>
      <c r="O13" s="11" t="s">
        <v>91</v>
      </c>
      <c r="P13" s="8" t="s">
        <v>40</v>
      </c>
      <c r="Q13" s="8" t="s">
        <v>41</v>
      </c>
      <c r="R13" s="52" t="s">
        <v>394</v>
      </c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67.5" customHeight="1" x14ac:dyDescent="0.2">
      <c r="A14" s="50">
        <v>3</v>
      </c>
      <c r="B14" s="129" t="s">
        <v>94</v>
      </c>
      <c r="C14" s="123"/>
      <c r="D14" s="124"/>
      <c r="E14" s="8" t="s">
        <v>458</v>
      </c>
      <c r="F14" s="8" t="s">
        <v>89</v>
      </c>
      <c r="G14" s="9" t="s">
        <v>45</v>
      </c>
      <c r="H14" s="10" t="s">
        <v>34</v>
      </c>
      <c r="I14" s="8" t="str">
        <f t="shared" si="0"/>
        <v>PLAN DE AUDITORÍA GSI-FO-003 Ver. 00 de fecha 7/07/2025</v>
      </c>
      <c r="J14" s="49"/>
      <c r="K14" s="11" t="s">
        <v>31</v>
      </c>
      <c r="L14" s="8" t="s">
        <v>36</v>
      </c>
      <c r="M14" s="11" t="s">
        <v>93</v>
      </c>
      <c r="N14" s="11" t="s">
        <v>38</v>
      </c>
      <c r="O14" s="11" t="s">
        <v>91</v>
      </c>
      <c r="P14" s="8" t="s">
        <v>40</v>
      </c>
      <c r="Q14" s="8" t="s">
        <v>41</v>
      </c>
      <c r="R14" s="52" t="s">
        <v>394</v>
      </c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67.5" customHeight="1" x14ac:dyDescent="0.2">
      <c r="A15" s="50">
        <v>4</v>
      </c>
      <c r="B15" s="129" t="s">
        <v>95</v>
      </c>
      <c r="C15" s="123"/>
      <c r="D15" s="124"/>
      <c r="E15" s="8" t="s">
        <v>458</v>
      </c>
      <c r="F15" s="8" t="s">
        <v>89</v>
      </c>
      <c r="G15" s="9" t="s">
        <v>47</v>
      </c>
      <c r="H15" s="10" t="s">
        <v>34</v>
      </c>
      <c r="I15" s="8" t="str">
        <f t="shared" si="0"/>
        <v>INFORME DE AUDITORÍA  GSI-FO-004 Ver. 00 de fecha 7/07/2025</v>
      </c>
      <c r="J15" s="49"/>
      <c r="K15" s="11" t="s">
        <v>31</v>
      </c>
      <c r="L15" s="8" t="s">
        <v>36</v>
      </c>
      <c r="M15" s="11" t="s">
        <v>93</v>
      </c>
      <c r="N15" s="11" t="s">
        <v>38</v>
      </c>
      <c r="O15" s="11" t="s">
        <v>91</v>
      </c>
      <c r="P15" s="8" t="s">
        <v>40</v>
      </c>
      <c r="Q15" s="8" t="s">
        <v>41</v>
      </c>
      <c r="R15" s="52" t="s">
        <v>394</v>
      </c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67.5" customHeight="1" x14ac:dyDescent="0.2">
      <c r="A16" s="50">
        <v>5</v>
      </c>
      <c r="B16" s="129" t="s">
        <v>96</v>
      </c>
      <c r="C16" s="123"/>
      <c r="D16" s="124"/>
      <c r="E16" s="8" t="s">
        <v>458</v>
      </c>
      <c r="F16" s="8" t="s">
        <v>89</v>
      </c>
      <c r="G16" s="9" t="s">
        <v>49</v>
      </c>
      <c r="H16" s="10" t="s">
        <v>34</v>
      </c>
      <c r="I16" s="8" t="str">
        <f t="shared" si="0"/>
        <v>REGISTRO DE AUDITORÍAS GSI-FO-005 Ver. 00 de fecha 7/07/2025</v>
      </c>
      <c r="J16" s="49"/>
      <c r="K16" s="11" t="s">
        <v>31</v>
      </c>
      <c r="L16" s="8" t="s">
        <v>36</v>
      </c>
      <c r="M16" s="11" t="s">
        <v>93</v>
      </c>
      <c r="N16" s="11" t="s">
        <v>38</v>
      </c>
      <c r="O16" s="11" t="s">
        <v>91</v>
      </c>
      <c r="P16" s="8" t="s">
        <v>40</v>
      </c>
      <c r="Q16" s="8" t="s">
        <v>41</v>
      </c>
      <c r="R16" s="52" t="s">
        <v>394</v>
      </c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67.5" customHeight="1" x14ac:dyDescent="0.2">
      <c r="A17" s="50">
        <v>6</v>
      </c>
      <c r="B17" s="129" t="s">
        <v>97</v>
      </c>
      <c r="C17" s="123"/>
      <c r="D17" s="124"/>
      <c r="E17" s="8" t="s">
        <v>458</v>
      </c>
      <c r="F17" s="8" t="s">
        <v>89</v>
      </c>
      <c r="G17" s="9" t="s">
        <v>51</v>
      </c>
      <c r="H17" s="10" t="s">
        <v>34</v>
      </c>
      <c r="I17" s="8" t="str">
        <f t="shared" si="0"/>
        <v>SOLICITUD Y SEGUIMIENTO DE ACCIÓN CORRECTIVA  GSI-FO-006 Ver. 00 de fecha 7/07/2025</v>
      </c>
      <c r="J17" s="49"/>
      <c r="K17" s="11" t="s">
        <v>31</v>
      </c>
      <c r="L17" s="8" t="s">
        <v>36</v>
      </c>
      <c r="M17" s="11" t="s">
        <v>98</v>
      </c>
      <c r="N17" s="11" t="s">
        <v>38</v>
      </c>
      <c r="O17" s="11" t="s">
        <v>91</v>
      </c>
      <c r="P17" s="8" t="s">
        <v>40</v>
      </c>
      <c r="Q17" s="8" t="s">
        <v>41</v>
      </c>
      <c r="R17" s="52" t="s">
        <v>394</v>
      </c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67.5" customHeight="1" x14ac:dyDescent="0.2">
      <c r="A18" s="50">
        <v>7</v>
      </c>
      <c r="B18" s="129" t="s">
        <v>99</v>
      </c>
      <c r="C18" s="123"/>
      <c r="D18" s="124"/>
      <c r="E18" s="8" t="s">
        <v>458</v>
      </c>
      <c r="F18" s="8" t="s">
        <v>89</v>
      </c>
      <c r="G18" s="9" t="s">
        <v>53</v>
      </c>
      <c r="H18" s="10" t="s">
        <v>34</v>
      </c>
      <c r="I18" s="8" t="str">
        <f t="shared" si="0"/>
        <v>ACTA DE REVISIÓN POR LA DIRECCIÓN  GSI-FO-007 Ver. 00 de fecha 7/07/2025</v>
      </c>
      <c r="J18" s="49"/>
      <c r="K18" s="11" t="s">
        <v>31</v>
      </c>
      <c r="L18" s="8" t="s">
        <v>36</v>
      </c>
      <c r="M18" s="11" t="s">
        <v>100</v>
      </c>
      <c r="N18" s="11" t="s">
        <v>38</v>
      </c>
      <c r="O18" s="11" t="s">
        <v>91</v>
      </c>
      <c r="P18" s="8" t="s">
        <v>40</v>
      </c>
      <c r="Q18" s="8" t="s">
        <v>41</v>
      </c>
      <c r="R18" s="52" t="s">
        <v>394</v>
      </c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67.5" customHeight="1" x14ac:dyDescent="0.2">
      <c r="A19" s="50">
        <v>8</v>
      </c>
      <c r="B19" s="122" t="s">
        <v>101</v>
      </c>
      <c r="C19" s="123"/>
      <c r="D19" s="124"/>
      <c r="E19" s="8" t="s">
        <v>458</v>
      </c>
      <c r="F19" s="8" t="s">
        <v>89</v>
      </c>
      <c r="G19" s="9" t="s">
        <v>55</v>
      </c>
      <c r="H19" s="10" t="s">
        <v>34</v>
      </c>
      <c r="I19" s="8" t="str">
        <f t="shared" si="0"/>
        <v>DECLARACIÓN JURADA DE CUMPLIMIENTO DE LA POLÍTICA SIG GSI-FO-008 Ver. 00 de fecha 7/07/2025</v>
      </c>
      <c r="J19" s="49"/>
      <c r="K19" s="11" t="s">
        <v>102</v>
      </c>
      <c r="L19" s="8" t="s">
        <v>103</v>
      </c>
      <c r="M19" s="8" t="s">
        <v>104</v>
      </c>
      <c r="N19" s="11" t="s">
        <v>38</v>
      </c>
      <c r="O19" s="11" t="s">
        <v>91</v>
      </c>
      <c r="P19" s="8" t="s">
        <v>40</v>
      </c>
      <c r="Q19" s="8" t="s">
        <v>41</v>
      </c>
      <c r="R19" s="52" t="s">
        <v>394</v>
      </c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67.5" customHeight="1" x14ac:dyDescent="0.2">
      <c r="A20" s="50">
        <v>9</v>
      </c>
      <c r="B20" s="122" t="s">
        <v>105</v>
      </c>
      <c r="C20" s="123"/>
      <c r="D20" s="124"/>
      <c r="E20" s="8" t="s">
        <v>458</v>
      </c>
      <c r="F20" s="8" t="s">
        <v>89</v>
      </c>
      <c r="G20" s="9" t="s">
        <v>57</v>
      </c>
      <c r="H20" s="10" t="s">
        <v>34</v>
      </c>
      <c r="I20" s="8" t="str">
        <f t="shared" si="0"/>
        <v>DECLARACIÓN JURADA DE AUTORIZACIÓN DE FIRMA ELECTRÓNICA GSI-FO-009 Ver. 00 de fecha 7/07/2025</v>
      </c>
      <c r="J20" s="49"/>
      <c r="K20" s="11" t="s">
        <v>102</v>
      </c>
      <c r="L20" s="8" t="s">
        <v>103</v>
      </c>
      <c r="M20" s="8" t="s">
        <v>104</v>
      </c>
      <c r="N20" s="11" t="s">
        <v>38</v>
      </c>
      <c r="O20" s="11" t="s">
        <v>91</v>
      </c>
      <c r="P20" s="8" t="s">
        <v>40</v>
      </c>
      <c r="Q20" s="8" t="s">
        <v>41</v>
      </c>
      <c r="R20" s="52" t="s">
        <v>394</v>
      </c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67.5" customHeight="1" x14ac:dyDescent="0.2">
      <c r="A21" s="50">
        <v>10</v>
      </c>
      <c r="B21" s="122" t="s">
        <v>106</v>
      </c>
      <c r="C21" s="123"/>
      <c r="D21" s="124"/>
      <c r="E21" s="8" t="s">
        <v>458</v>
      </c>
      <c r="F21" s="8" t="s">
        <v>89</v>
      </c>
      <c r="G21" s="9" t="s">
        <v>61</v>
      </c>
      <c r="H21" s="10" t="s">
        <v>34</v>
      </c>
      <c r="I21" s="8" t="str">
        <f t="shared" si="0"/>
        <v>DECLARACIÓN JURADA DE NO TENER ANTECEDENTES POLICIALES, JUDICIALES NI PENALES GSI-FO-010 Ver. 00 de fecha 7/07/2025</v>
      </c>
      <c r="J21" s="49"/>
      <c r="K21" s="11" t="s">
        <v>102</v>
      </c>
      <c r="L21" s="8" t="s">
        <v>103</v>
      </c>
      <c r="M21" s="8" t="s">
        <v>104</v>
      </c>
      <c r="N21" s="11" t="s">
        <v>38</v>
      </c>
      <c r="O21" s="11" t="s">
        <v>91</v>
      </c>
      <c r="P21" s="8" t="s">
        <v>40</v>
      </c>
      <c r="Q21" s="8" t="s">
        <v>41</v>
      </c>
      <c r="R21" s="52" t="s">
        <v>394</v>
      </c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67.5" customHeight="1" x14ac:dyDescent="0.2">
      <c r="A22" s="50">
        <v>11</v>
      </c>
      <c r="B22" s="122" t="s">
        <v>107</v>
      </c>
      <c r="C22" s="123"/>
      <c r="D22" s="124"/>
      <c r="E22" s="8" t="s">
        <v>458</v>
      </c>
      <c r="F22" s="8" t="s">
        <v>89</v>
      </c>
      <c r="G22" s="9" t="s">
        <v>63</v>
      </c>
      <c r="H22" s="10" t="s">
        <v>34</v>
      </c>
      <c r="I22" s="8" t="str">
        <f t="shared" si="0"/>
        <v>DECLARACIÓN JURADA DE DOMICILIO GSI-FO-011 Ver. 00 de fecha 7/07/2025</v>
      </c>
      <c r="J22" s="49"/>
      <c r="K22" s="11" t="s">
        <v>102</v>
      </c>
      <c r="L22" s="8" t="s">
        <v>103</v>
      </c>
      <c r="M22" s="8" t="s">
        <v>104</v>
      </c>
      <c r="N22" s="11" t="s">
        <v>38</v>
      </c>
      <c r="O22" s="11" t="s">
        <v>91</v>
      </c>
      <c r="P22" s="8" t="s">
        <v>40</v>
      </c>
      <c r="Q22" s="8" t="s">
        <v>41</v>
      </c>
      <c r="R22" s="52" t="s">
        <v>394</v>
      </c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67.5" customHeight="1" x14ac:dyDescent="0.2">
      <c r="A23" s="50">
        <v>12</v>
      </c>
      <c r="B23" s="129" t="s">
        <v>108</v>
      </c>
      <c r="C23" s="123"/>
      <c r="D23" s="124"/>
      <c r="E23" s="8" t="s">
        <v>458</v>
      </c>
      <c r="F23" s="8" t="s">
        <v>89</v>
      </c>
      <c r="G23" s="9" t="s">
        <v>109</v>
      </c>
      <c r="H23" s="10" t="s">
        <v>34</v>
      </c>
      <c r="I23" s="8" t="str">
        <f t="shared" si="0"/>
        <v>PERFIL DE PUESTO GSI-FO-012 Ver. 00 de fecha 7/07/2025</v>
      </c>
      <c r="J23" s="49"/>
      <c r="K23" s="11" t="s">
        <v>102</v>
      </c>
      <c r="L23" s="8" t="s">
        <v>103</v>
      </c>
      <c r="M23" s="8" t="s">
        <v>104</v>
      </c>
      <c r="N23" s="11" t="s">
        <v>38</v>
      </c>
      <c r="O23" s="11" t="s">
        <v>91</v>
      </c>
      <c r="P23" s="8" t="s">
        <v>40</v>
      </c>
      <c r="Q23" s="8" t="s">
        <v>41</v>
      </c>
      <c r="R23" s="52" t="s">
        <v>394</v>
      </c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67.5" customHeight="1" x14ac:dyDescent="0.2">
      <c r="A24" s="50">
        <v>13</v>
      </c>
      <c r="B24" s="129" t="s">
        <v>110</v>
      </c>
      <c r="C24" s="123"/>
      <c r="D24" s="124"/>
      <c r="E24" s="8" t="s">
        <v>458</v>
      </c>
      <c r="F24" s="8" t="s">
        <v>89</v>
      </c>
      <c r="G24" s="9" t="s">
        <v>111</v>
      </c>
      <c r="H24" s="10" t="s">
        <v>34</v>
      </c>
      <c r="I24" s="8" t="str">
        <f t="shared" si="0"/>
        <v>FICHA DE PERSONAL GSI-FO-013 Ver. 00 de fecha 7/07/2025</v>
      </c>
      <c r="J24" s="49"/>
      <c r="K24" s="11" t="s">
        <v>102</v>
      </c>
      <c r="L24" s="8" t="s">
        <v>103</v>
      </c>
      <c r="M24" s="8" t="s">
        <v>104</v>
      </c>
      <c r="N24" s="11" t="s">
        <v>38</v>
      </c>
      <c r="O24" s="11" t="s">
        <v>91</v>
      </c>
      <c r="P24" s="8" t="s">
        <v>40</v>
      </c>
      <c r="Q24" s="8" t="s">
        <v>41</v>
      </c>
      <c r="R24" s="52" t="s">
        <v>394</v>
      </c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67.5" customHeight="1" x14ac:dyDescent="0.2">
      <c r="A25" s="50">
        <v>14</v>
      </c>
      <c r="B25" s="129" t="s">
        <v>112</v>
      </c>
      <c r="C25" s="123"/>
      <c r="D25" s="124"/>
      <c r="E25" s="8" t="s">
        <v>458</v>
      </c>
      <c r="F25" s="8" t="s">
        <v>89</v>
      </c>
      <c r="G25" s="9" t="s">
        <v>113</v>
      </c>
      <c r="H25" s="10" t="s">
        <v>34</v>
      </c>
      <c r="I25" s="8" t="str">
        <f t="shared" si="0"/>
        <v>PROGRAMA ANUAL DE CAPACITACIÓN GSI-FO-014 Ver. 00 de fecha 7/07/2025</v>
      </c>
      <c r="J25" s="49"/>
      <c r="K25" s="11" t="s">
        <v>102</v>
      </c>
      <c r="L25" s="8" t="s">
        <v>103</v>
      </c>
      <c r="M25" s="8" t="s">
        <v>104</v>
      </c>
      <c r="N25" s="11" t="s">
        <v>38</v>
      </c>
      <c r="O25" s="11" t="s">
        <v>91</v>
      </c>
      <c r="P25" s="8" t="s">
        <v>40</v>
      </c>
      <c r="Q25" s="8" t="s">
        <v>41</v>
      </c>
      <c r="R25" s="52" t="s">
        <v>394</v>
      </c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67.5" customHeight="1" x14ac:dyDescent="0.2">
      <c r="A26" s="50">
        <v>15</v>
      </c>
      <c r="B26" s="122" t="s">
        <v>114</v>
      </c>
      <c r="C26" s="123"/>
      <c r="D26" s="124"/>
      <c r="E26" s="8" t="s">
        <v>458</v>
      </c>
      <c r="F26" s="8" t="s">
        <v>89</v>
      </c>
      <c r="G26" s="9" t="s">
        <v>115</v>
      </c>
      <c r="H26" s="10" t="s">
        <v>34</v>
      </c>
      <c r="I26" s="8" t="str">
        <f t="shared" si="0"/>
        <v>LISTA DE ASISTENCIA GSI-FO-015 Ver. 00 de fecha 7/07/2025</v>
      </c>
      <c r="J26" s="49"/>
      <c r="K26" s="11" t="s">
        <v>102</v>
      </c>
      <c r="L26" s="8" t="s">
        <v>103</v>
      </c>
      <c r="M26" s="8" t="s">
        <v>104</v>
      </c>
      <c r="N26" s="11" t="s">
        <v>38</v>
      </c>
      <c r="O26" s="11" t="s">
        <v>91</v>
      </c>
      <c r="P26" s="8" t="s">
        <v>40</v>
      </c>
      <c r="Q26" s="8" t="s">
        <v>41</v>
      </c>
      <c r="R26" s="52" t="s">
        <v>394</v>
      </c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67.5" customHeight="1" x14ac:dyDescent="0.2">
      <c r="A27" s="50">
        <v>16</v>
      </c>
      <c r="B27" s="174" t="s">
        <v>116</v>
      </c>
      <c r="C27" s="123"/>
      <c r="D27" s="124"/>
      <c r="E27" s="8" t="s">
        <v>458</v>
      </c>
      <c r="F27" s="8" t="s">
        <v>89</v>
      </c>
      <c r="G27" s="9" t="s">
        <v>117</v>
      </c>
      <c r="H27" s="10" t="s">
        <v>34</v>
      </c>
      <c r="I27" s="8" t="str">
        <f t="shared" si="0"/>
        <v>OBEJTIVOS E INDICADORES DEL SIG GSI-FO-016 Ver. 00 de fecha 7/07/2025</v>
      </c>
      <c r="J27" s="49"/>
      <c r="K27" s="11" t="s">
        <v>31</v>
      </c>
      <c r="L27" s="8" t="s">
        <v>36</v>
      </c>
      <c r="M27" s="11" t="s">
        <v>118</v>
      </c>
      <c r="N27" s="11" t="s">
        <v>38</v>
      </c>
      <c r="O27" s="11" t="s">
        <v>91</v>
      </c>
      <c r="P27" s="8" t="s">
        <v>40</v>
      </c>
      <c r="Q27" s="8" t="s">
        <v>41</v>
      </c>
      <c r="R27" s="52" t="s">
        <v>394</v>
      </c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67.5" customHeight="1" x14ac:dyDescent="0.2">
      <c r="A28" s="50">
        <v>17</v>
      </c>
      <c r="B28" s="174" t="s">
        <v>119</v>
      </c>
      <c r="C28" s="123"/>
      <c r="D28" s="124"/>
      <c r="E28" s="8" t="s">
        <v>458</v>
      </c>
      <c r="F28" s="8" t="s">
        <v>89</v>
      </c>
      <c r="G28" s="9" t="s">
        <v>120</v>
      </c>
      <c r="H28" s="10" t="s">
        <v>34</v>
      </c>
      <c r="I28" s="8" t="str">
        <f t="shared" si="0"/>
        <v>REGISTRO ANUAL DE OBJETIVOS E INDICADORES DEL SIG GSI-FO-017 Ver. 00 de fecha 7/07/2025</v>
      </c>
      <c r="J28" s="49"/>
      <c r="K28" s="11" t="s">
        <v>31</v>
      </c>
      <c r="L28" s="8" t="s">
        <v>36</v>
      </c>
      <c r="M28" s="11" t="s">
        <v>118</v>
      </c>
      <c r="N28" s="11" t="s">
        <v>38</v>
      </c>
      <c r="O28" s="11" t="s">
        <v>91</v>
      </c>
      <c r="P28" s="8" t="s">
        <v>40</v>
      </c>
      <c r="Q28" s="8" t="s">
        <v>41</v>
      </c>
      <c r="R28" s="52" t="s">
        <v>394</v>
      </c>
      <c r="S28" s="16"/>
      <c r="T28" s="16"/>
      <c r="U28" s="16"/>
      <c r="V28" s="17"/>
      <c r="W28" s="17"/>
      <c r="X28" s="17"/>
      <c r="Y28" s="17"/>
      <c r="Z28" s="17"/>
      <c r="AA28" s="17"/>
    </row>
    <row r="29" spans="1:27" ht="67.5" customHeight="1" x14ac:dyDescent="0.2">
      <c r="A29" s="50">
        <v>19</v>
      </c>
      <c r="B29" s="170" t="s">
        <v>121</v>
      </c>
      <c r="C29" s="123"/>
      <c r="D29" s="124"/>
      <c r="E29" s="8" t="s">
        <v>458</v>
      </c>
      <c r="F29" s="18" t="s">
        <v>89</v>
      </c>
      <c r="G29" s="9" t="s">
        <v>122</v>
      </c>
      <c r="H29" s="10" t="s">
        <v>34</v>
      </c>
      <c r="I29" s="8" t="str">
        <f t="shared" si="0"/>
        <v>PROGRAMA ANUAL DE SIMULACROS GSI-FO-019 Ver. 00 de fecha 7/07/2025</v>
      </c>
      <c r="J29" s="49"/>
      <c r="K29" s="11" t="s">
        <v>31</v>
      </c>
      <c r="L29" s="8" t="s">
        <v>59</v>
      </c>
      <c r="M29" s="11" t="s">
        <v>123</v>
      </c>
      <c r="N29" s="11" t="s">
        <v>38</v>
      </c>
      <c r="O29" s="11" t="s">
        <v>91</v>
      </c>
      <c r="P29" s="8" t="s">
        <v>40</v>
      </c>
      <c r="Q29" s="8" t="s">
        <v>41</v>
      </c>
      <c r="R29" s="52" t="s">
        <v>394</v>
      </c>
      <c r="S29" s="16"/>
      <c r="T29" s="16"/>
      <c r="U29" s="16"/>
      <c r="V29" s="17"/>
      <c r="W29" s="17"/>
      <c r="X29" s="17"/>
      <c r="Y29" s="17"/>
      <c r="Z29" s="17"/>
      <c r="AA29" s="17"/>
    </row>
    <row r="30" spans="1:27" ht="67.5" customHeight="1" x14ac:dyDescent="0.2">
      <c r="A30" s="50">
        <v>20</v>
      </c>
      <c r="B30" s="170" t="s">
        <v>124</v>
      </c>
      <c r="C30" s="123"/>
      <c r="D30" s="124"/>
      <c r="E30" s="8" t="s">
        <v>458</v>
      </c>
      <c r="F30" s="18" t="s">
        <v>89</v>
      </c>
      <c r="G30" s="9" t="s">
        <v>125</v>
      </c>
      <c r="H30" s="10" t="s">
        <v>34</v>
      </c>
      <c r="I30" s="8" t="str">
        <f t="shared" si="0"/>
        <v>INFORME DE SIMULACRO GSI-FO-020 Ver. 00 de fecha 7/07/2025</v>
      </c>
      <c r="J30" s="49"/>
      <c r="K30" s="11" t="s">
        <v>31</v>
      </c>
      <c r="L30" s="8" t="s">
        <v>59</v>
      </c>
      <c r="M30" s="11" t="s">
        <v>123</v>
      </c>
      <c r="N30" s="11" t="s">
        <v>38</v>
      </c>
      <c r="O30" s="11" t="s">
        <v>91</v>
      </c>
      <c r="P30" s="8" t="s">
        <v>40</v>
      </c>
      <c r="Q30" s="8" t="s">
        <v>41</v>
      </c>
      <c r="R30" s="52" t="s">
        <v>394</v>
      </c>
      <c r="S30" s="16"/>
      <c r="T30" s="16"/>
      <c r="U30" s="16"/>
      <c r="V30" s="17"/>
      <c r="W30" s="17"/>
      <c r="X30" s="17"/>
      <c r="Y30" s="17"/>
      <c r="Z30" s="17"/>
      <c r="AA30" s="17"/>
    </row>
    <row r="31" spans="1:27" ht="67.5" customHeight="1" x14ac:dyDescent="0.2">
      <c r="A31" s="50">
        <v>21</v>
      </c>
      <c r="B31" s="170" t="s">
        <v>126</v>
      </c>
      <c r="C31" s="123"/>
      <c r="D31" s="124"/>
      <c r="E31" s="8" t="s">
        <v>458</v>
      </c>
      <c r="F31" s="8" t="s">
        <v>89</v>
      </c>
      <c r="G31" s="9" t="s">
        <v>127</v>
      </c>
      <c r="H31" s="10" t="s">
        <v>34</v>
      </c>
      <c r="I31" s="8" t="str">
        <f t="shared" si="0"/>
        <v>FICHA DE SELECCIÓN DEL PROVEEDOR GSI-FO-021 Ver. 00 de fecha 7/07/2025</v>
      </c>
      <c r="J31" s="49"/>
      <c r="K31" s="11" t="s">
        <v>31</v>
      </c>
      <c r="L31" s="8" t="s">
        <v>36</v>
      </c>
      <c r="M31" s="11" t="s">
        <v>123</v>
      </c>
      <c r="N31" s="11" t="s">
        <v>38</v>
      </c>
      <c r="O31" s="11" t="s">
        <v>91</v>
      </c>
      <c r="P31" s="8" t="s">
        <v>40</v>
      </c>
      <c r="Q31" s="8" t="s">
        <v>41</v>
      </c>
      <c r="R31" s="52" t="s">
        <v>394</v>
      </c>
      <c r="S31" s="16"/>
      <c r="T31" s="16"/>
      <c r="U31" s="16"/>
      <c r="V31" s="17"/>
      <c r="W31" s="17"/>
      <c r="X31" s="17"/>
      <c r="Y31" s="17"/>
      <c r="Z31" s="17"/>
      <c r="AA31" s="17"/>
    </row>
    <row r="32" spans="1:27" ht="67.5" customHeight="1" x14ac:dyDescent="0.2">
      <c r="A32" s="50">
        <v>22</v>
      </c>
      <c r="B32" s="170" t="s">
        <v>128</v>
      </c>
      <c r="C32" s="123"/>
      <c r="D32" s="124"/>
      <c r="E32" s="8" t="s">
        <v>458</v>
      </c>
      <c r="F32" s="18" t="s">
        <v>89</v>
      </c>
      <c r="G32" s="9" t="s">
        <v>129</v>
      </c>
      <c r="H32" s="10" t="s">
        <v>34</v>
      </c>
      <c r="I32" s="8" t="str">
        <f t="shared" si="0"/>
        <v>FICHA DE EVALUACIÓN DEL PROVEEDOR GSI-FO-022 Ver. 00 de fecha 7/07/2025</v>
      </c>
      <c r="J32" s="49"/>
      <c r="K32" s="11" t="s">
        <v>31</v>
      </c>
      <c r="L32" s="8" t="s">
        <v>36</v>
      </c>
      <c r="M32" s="11" t="s">
        <v>130</v>
      </c>
      <c r="N32" s="11" t="s">
        <v>38</v>
      </c>
      <c r="O32" s="11" t="s">
        <v>91</v>
      </c>
      <c r="P32" s="8" t="s">
        <v>40</v>
      </c>
      <c r="Q32" s="8" t="s">
        <v>41</v>
      </c>
      <c r="R32" s="52" t="s">
        <v>394</v>
      </c>
      <c r="S32" s="16"/>
      <c r="T32" s="16"/>
      <c r="U32" s="16"/>
      <c r="V32" s="17"/>
      <c r="W32" s="17"/>
      <c r="X32" s="17"/>
      <c r="Y32" s="17"/>
      <c r="Z32" s="17"/>
      <c r="AA32" s="17"/>
    </row>
    <row r="33" spans="1:27" ht="67.5" customHeight="1" x14ac:dyDescent="0.2">
      <c r="A33" s="50">
        <v>23</v>
      </c>
      <c r="B33" s="170" t="s">
        <v>131</v>
      </c>
      <c r="C33" s="123"/>
      <c r="D33" s="124"/>
      <c r="E33" s="8" t="s">
        <v>458</v>
      </c>
      <c r="F33" s="18" t="s">
        <v>89</v>
      </c>
      <c r="G33" s="9" t="s">
        <v>132</v>
      </c>
      <c r="H33" s="10" t="s">
        <v>34</v>
      </c>
      <c r="I33" s="8" t="str">
        <f t="shared" si="0"/>
        <v>LISTA DE PROVEEDORES APROBADOS GSI-FO-023 Ver. 00 de fecha 7/07/2025</v>
      </c>
      <c r="J33" s="49"/>
      <c r="K33" s="11" t="s">
        <v>31</v>
      </c>
      <c r="L33" s="8" t="s">
        <v>36</v>
      </c>
      <c r="M33" s="11" t="s">
        <v>130</v>
      </c>
      <c r="N33" s="11" t="s">
        <v>38</v>
      </c>
      <c r="O33" s="11" t="s">
        <v>91</v>
      </c>
      <c r="P33" s="8" t="s">
        <v>40</v>
      </c>
      <c r="Q33" s="8" t="s">
        <v>41</v>
      </c>
      <c r="R33" s="52" t="s">
        <v>394</v>
      </c>
      <c r="S33" s="16"/>
      <c r="T33" s="16"/>
      <c r="U33" s="16"/>
      <c r="V33" s="17"/>
      <c r="W33" s="17"/>
      <c r="X33" s="17"/>
      <c r="Y33" s="17"/>
      <c r="Z33" s="17"/>
      <c r="AA33" s="17"/>
    </row>
    <row r="34" spans="1:27" ht="67.5" customHeight="1" x14ac:dyDescent="0.2">
      <c r="A34" s="50">
        <v>24</v>
      </c>
      <c r="B34" s="170" t="s">
        <v>133</v>
      </c>
      <c r="C34" s="123"/>
      <c r="D34" s="124"/>
      <c r="E34" s="8" t="s">
        <v>458</v>
      </c>
      <c r="F34" s="18" t="s">
        <v>89</v>
      </c>
      <c r="G34" s="9" t="s">
        <v>134</v>
      </c>
      <c r="H34" s="10" t="s">
        <v>34</v>
      </c>
      <c r="I34" s="8" t="str">
        <f t="shared" si="0"/>
        <v>ORDEN DE COMPRA GSI-FO-024 Ver. 00 de fecha 7/07/2025</v>
      </c>
      <c r="J34" s="49"/>
      <c r="K34" s="11" t="s">
        <v>31</v>
      </c>
      <c r="L34" s="8" t="s">
        <v>36</v>
      </c>
      <c r="M34" s="11" t="s">
        <v>130</v>
      </c>
      <c r="N34" s="11" t="s">
        <v>38</v>
      </c>
      <c r="O34" s="11" t="s">
        <v>91</v>
      </c>
      <c r="P34" s="8" t="s">
        <v>40</v>
      </c>
      <c r="Q34" s="8" t="s">
        <v>41</v>
      </c>
      <c r="R34" s="52" t="s">
        <v>394</v>
      </c>
      <c r="S34" s="16"/>
      <c r="T34" s="16"/>
      <c r="U34" s="16"/>
      <c r="V34" s="17"/>
      <c r="W34" s="17"/>
      <c r="X34" s="17"/>
      <c r="Y34" s="17"/>
      <c r="Z34" s="17"/>
      <c r="AA34" s="17"/>
    </row>
    <row r="35" spans="1:27" ht="67.5" customHeight="1" x14ac:dyDescent="0.2">
      <c r="A35" s="50">
        <v>25</v>
      </c>
      <c r="B35" s="170" t="s">
        <v>135</v>
      </c>
      <c r="C35" s="123"/>
      <c r="D35" s="124"/>
      <c r="E35" s="8" t="s">
        <v>458</v>
      </c>
      <c r="F35" s="18" t="s">
        <v>89</v>
      </c>
      <c r="G35" s="9" t="s">
        <v>136</v>
      </c>
      <c r="H35" s="10" t="s">
        <v>34</v>
      </c>
      <c r="I35" s="8" t="str">
        <f t="shared" si="0"/>
        <v>REQUERIMIENTO DE MATERIALES GSI-FO-025 Ver. 00 de fecha 7/07/2025</v>
      </c>
      <c r="J35" s="49"/>
      <c r="K35" s="11" t="s">
        <v>31</v>
      </c>
      <c r="L35" s="8" t="s">
        <v>36</v>
      </c>
      <c r="M35" s="11" t="s">
        <v>130</v>
      </c>
      <c r="N35" s="11" t="s">
        <v>38</v>
      </c>
      <c r="O35" s="11" t="s">
        <v>91</v>
      </c>
      <c r="P35" s="8" t="s">
        <v>40</v>
      </c>
      <c r="Q35" s="8" t="s">
        <v>41</v>
      </c>
      <c r="R35" s="52" t="s">
        <v>394</v>
      </c>
      <c r="S35" s="16"/>
      <c r="T35" s="16"/>
      <c r="U35" s="16"/>
      <c r="V35" s="17"/>
      <c r="W35" s="17"/>
      <c r="X35" s="17"/>
      <c r="Y35" s="17"/>
      <c r="Z35" s="17"/>
      <c r="AA35" s="17"/>
    </row>
    <row r="36" spans="1:27" ht="67.5" customHeight="1" x14ac:dyDescent="0.2">
      <c r="A36" s="50">
        <v>26</v>
      </c>
      <c r="B36" s="174" t="s">
        <v>137</v>
      </c>
      <c r="C36" s="123"/>
      <c r="D36" s="124"/>
      <c r="E36" s="8" t="s">
        <v>458</v>
      </c>
      <c r="F36" s="18" t="s">
        <v>89</v>
      </c>
      <c r="G36" s="19" t="s">
        <v>138</v>
      </c>
      <c r="H36" s="20" t="s">
        <v>34</v>
      </c>
      <c r="I36" s="8" t="str">
        <f t="shared" si="0"/>
        <v>INSPECCION DE PRODUCTO COMPRADO/RECIBIDO GSI-FO-026 Ver. 00 de fecha 7/07/2025</v>
      </c>
      <c r="J36" s="49"/>
      <c r="K36" s="21" t="s">
        <v>31</v>
      </c>
      <c r="L36" s="18" t="s">
        <v>36</v>
      </c>
      <c r="M36" s="11" t="s">
        <v>130</v>
      </c>
      <c r="N36" s="21" t="s">
        <v>38</v>
      </c>
      <c r="O36" s="21" t="s">
        <v>91</v>
      </c>
      <c r="P36" s="18" t="s">
        <v>40</v>
      </c>
      <c r="Q36" s="18" t="s">
        <v>41</v>
      </c>
      <c r="R36" s="52" t="s">
        <v>394</v>
      </c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67.5" customHeight="1" x14ac:dyDescent="0.2">
      <c r="A37" s="50">
        <v>27</v>
      </c>
      <c r="B37" s="175" t="s">
        <v>139</v>
      </c>
      <c r="C37" s="123"/>
      <c r="D37" s="124"/>
      <c r="E37" s="8" t="s">
        <v>458</v>
      </c>
      <c r="F37" s="18" t="s">
        <v>89</v>
      </c>
      <c r="G37" s="19" t="s">
        <v>140</v>
      </c>
      <c r="H37" s="20" t="s">
        <v>34</v>
      </c>
      <c r="I37" s="8" t="str">
        <f t="shared" si="0"/>
        <v>INVENTARIO DE EQUIPOS DE COMPUTO GSI-FO-027 Ver. 00 de fecha 7/07/2025</v>
      </c>
      <c r="J37" s="49"/>
      <c r="K37" s="21" t="s">
        <v>31</v>
      </c>
      <c r="L37" s="18" t="s">
        <v>36</v>
      </c>
      <c r="M37" s="11" t="s">
        <v>141</v>
      </c>
      <c r="N37" s="21" t="s">
        <v>38</v>
      </c>
      <c r="O37" s="21" t="s">
        <v>91</v>
      </c>
      <c r="P37" s="18" t="s">
        <v>40</v>
      </c>
      <c r="Q37" s="18" t="s">
        <v>41</v>
      </c>
      <c r="R37" s="52" t="s">
        <v>394</v>
      </c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67.5" customHeight="1" x14ac:dyDescent="0.2">
      <c r="A38" s="50">
        <v>28</v>
      </c>
      <c r="B38" s="170" t="s">
        <v>142</v>
      </c>
      <c r="C38" s="123"/>
      <c r="D38" s="124"/>
      <c r="E38" s="8" t="s">
        <v>458</v>
      </c>
      <c r="F38" s="18" t="s">
        <v>89</v>
      </c>
      <c r="G38" s="19" t="s">
        <v>143</v>
      </c>
      <c r="H38" s="20" t="s">
        <v>34</v>
      </c>
      <c r="I38" s="8" t="str">
        <f t="shared" si="0"/>
        <v>INVENTARIO DE VEHICULO, MAQUINARIAS Y EQUIPOS GSI-FO-028 Ver. 00 de fecha 7/07/2025</v>
      </c>
      <c r="J38" s="49"/>
      <c r="K38" s="21" t="s">
        <v>31</v>
      </c>
      <c r="L38" s="18" t="s">
        <v>36</v>
      </c>
      <c r="M38" s="11" t="s">
        <v>141</v>
      </c>
      <c r="N38" s="21" t="s">
        <v>38</v>
      </c>
      <c r="O38" s="21" t="s">
        <v>91</v>
      </c>
      <c r="P38" s="18" t="s">
        <v>40</v>
      </c>
      <c r="Q38" s="18" t="s">
        <v>41</v>
      </c>
      <c r="R38" s="52" t="s">
        <v>394</v>
      </c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67.5" customHeight="1" x14ac:dyDescent="0.2">
      <c r="A39" s="50">
        <v>29</v>
      </c>
      <c r="B39" s="170" t="s">
        <v>144</v>
      </c>
      <c r="C39" s="123"/>
      <c r="D39" s="124"/>
      <c r="E39" s="8" t="s">
        <v>458</v>
      </c>
      <c r="F39" s="18" t="s">
        <v>89</v>
      </c>
      <c r="G39" s="19" t="s">
        <v>145</v>
      </c>
      <c r="H39" s="20" t="s">
        <v>34</v>
      </c>
      <c r="I39" s="8" t="str">
        <f t="shared" si="0"/>
        <v>REPORTE DE MANTENIMIENTO CORRECTIVO GSI-FO-029 Ver. 00 de fecha 7/07/2025</v>
      </c>
      <c r="J39" s="49"/>
      <c r="K39" s="21" t="s">
        <v>31</v>
      </c>
      <c r="L39" s="18" t="s">
        <v>36</v>
      </c>
      <c r="M39" s="11" t="s">
        <v>141</v>
      </c>
      <c r="N39" s="21" t="s">
        <v>38</v>
      </c>
      <c r="O39" s="21" t="s">
        <v>91</v>
      </c>
      <c r="P39" s="18" t="s">
        <v>40</v>
      </c>
      <c r="Q39" s="18" t="s">
        <v>41</v>
      </c>
      <c r="R39" s="52" t="s">
        <v>394</v>
      </c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67.5" customHeight="1" x14ac:dyDescent="0.2">
      <c r="A40" s="50">
        <v>30</v>
      </c>
      <c r="B40" s="170" t="s">
        <v>146</v>
      </c>
      <c r="C40" s="123"/>
      <c r="D40" s="124"/>
      <c r="E40" s="8" t="s">
        <v>458</v>
      </c>
      <c r="F40" s="18" t="s">
        <v>89</v>
      </c>
      <c r="G40" s="19" t="s">
        <v>147</v>
      </c>
      <c r="H40" s="20" t="s">
        <v>34</v>
      </c>
      <c r="I40" s="8" t="str">
        <f t="shared" si="0"/>
        <v>REPORTE DE MANTENIEMIENTO PREVENTIVO GSI-FO-030 Ver. 00 de fecha 7/07/2025</v>
      </c>
      <c r="J40" s="49"/>
      <c r="K40" s="21" t="s">
        <v>31</v>
      </c>
      <c r="L40" s="18" t="s">
        <v>36</v>
      </c>
      <c r="M40" s="11" t="s">
        <v>141</v>
      </c>
      <c r="N40" s="21" t="s">
        <v>38</v>
      </c>
      <c r="O40" s="21" t="s">
        <v>91</v>
      </c>
      <c r="P40" s="18" t="s">
        <v>40</v>
      </c>
      <c r="Q40" s="18" t="s">
        <v>41</v>
      </c>
      <c r="R40" s="52" t="s">
        <v>394</v>
      </c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67.5" customHeight="1" x14ac:dyDescent="0.2">
      <c r="A41" s="50">
        <v>31</v>
      </c>
      <c r="B41" s="170" t="s">
        <v>148</v>
      </c>
      <c r="C41" s="123"/>
      <c r="D41" s="124"/>
      <c r="E41" s="8" t="s">
        <v>458</v>
      </c>
      <c r="F41" s="18" t="s">
        <v>89</v>
      </c>
      <c r="G41" s="19" t="s">
        <v>149</v>
      </c>
      <c r="H41" s="20" t="s">
        <v>34</v>
      </c>
      <c r="I41" s="8" t="str">
        <f t="shared" si="0"/>
        <v>PROGRAMA DE MANTENIMIENTO GSI-FO-031 Ver. 00 de fecha 7/07/2025</v>
      </c>
      <c r="J41" s="49"/>
      <c r="K41" s="21" t="s">
        <v>31</v>
      </c>
      <c r="L41" s="18" t="s">
        <v>36</v>
      </c>
      <c r="M41" s="11" t="s">
        <v>141</v>
      </c>
      <c r="N41" s="21" t="s">
        <v>38</v>
      </c>
      <c r="O41" s="21" t="s">
        <v>91</v>
      </c>
      <c r="P41" s="18" t="s">
        <v>40</v>
      </c>
      <c r="Q41" s="18" t="s">
        <v>41</v>
      </c>
      <c r="R41" s="52" t="s">
        <v>394</v>
      </c>
      <c r="S41" s="17"/>
      <c r="T41" s="17"/>
      <c r="U41" s="17"/>
      <c r="V41" s="17"/>
      <c r="W41" s="17"/>
      <c r="X41" s="17"/>
      <c r="Y41" s="17"/>
      <c r="Z41" s="17"/>
      <c r="AA41" s="17"/>
    </row>
    <row r="42" spans="1:27" ht="67.5" customHeight="1" x14ac:dyDescent="0.2">
      <c r="A42" s="50">
        <v>32</v>
      </c>
      <c r="B42" s="170" t="s">
        <v>150</v>
      </c>
      <c r="C42" s="123"/>
      <c r="D42" s="124"/>
      <c r="E42" s="8" t="s">
        <v>458</v>
      </c>
      <c r="F42" s="18" t="s">
        <v>89</v>
      </c>
      <c r="G42" s="19" t="s">
        <v>151</v>
      </c>
      <c r="H42" s="20" t="s">
        <v>34</v>
      </c>
      <c r="I42" s="8" t="str">
        <f t="shared" si="0"/>
        <v>MANTENIMIENTO DE VEHICULO GSI-FO-032 Ver. 00 de fecha 7/07/2025</v>
      </c>
      <c r="J42" s="49"/>
      <c r="K42" s="21" t="s">
        <v>31</v>
      </c>
      <c r="L42" s="18" t="s">
        <v>36</v>
      </c>
      <c r="M42" s="11" t="s">
        <v>141</v>
      </c>
      <c r="N42" s="21" t="s">
        <v>38</v>
      </c>
      <c r="O42" s="21" t="s">
        <v>91</v>
      </c>
      <c r="P42" s="18" t="s">
        <v>40</v>
      </c>
      <c r="Q42" s="18" t="s">
        <v>41</v>
      </c>
      <c r="R42" s="52" t="s">
        <v>394</v>
      </c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67.5" customHeight="1" x14ac:dyDescent="0.2">
      <c r="A43" s="50">
        <v>34</v>
      </c>
      <c r="B43" s="170" t="s">
        <v>459</v>
      </c>
      <c r="C43" s="123"/>
      <c r="D43" s="124"/>
      <c r="E43" s="8" t="s">
        <v>458</v>
      </c>
      <c r="F43" s="18" t="s">
        <v>89</v>
      </c>
      <c r="G43" s="19" t="s">
        <v>152</v>
      </c>
      <c r="H43" s="20" t="s">
        <v>34</v>
      </c>
      <c r="I43" s="8" t="str">
        <f t="shared" si="0"/>
        <v>REVISIÓN POR LA FUNCIÓN DE CUMPLIMIENTO GSI-FO-034 Ver. 00 de fecha 7/07/2025</v>
      </c>
      <c r="J43" s="49"/>
      <c r="K43" s="21" t="s">
        <v>31</v>
      </c>
      <c r="L43" s="18" t="s">
        <v>36</v>
      </c>
      <c r="M43" s="11" t="s">
        <v>141</v>
      </c>
      <c r="N43" s="21" t="s">
        <v>38</v>
      </c>
      <c r="O43" s="21" t="s">
        <v>91</v>
      </c>
      <c r="P43" s="18" t="s">
        <v>40</v>
      </c>
      <c r="Q43" s="18" t="s">
        <v>41</v>
      </c>
      <c r="R43" s="52" t="s">
        <v>394</v>
      </c>
      <c r="S43" s="17"/>
      <c r="T43" s="17"/>
      <c r="U43" s="17"/>
      <c r="V43" s="17"/>
      <c r="W43" s="17"/>
      <c r="X43" s="17"/>
      <c r="Y43" s="17"/>
      <c r="Z43" s="17"/>
      <c r="AA43" s="17"/>
    </row>
    <row r="44" spans="1:27" ht="67.5" customHeight="1" x14ac:dyDescent="0.2">
      <c r="A44" s="50">
        <v>35</v>
      </c>
      <c r="B44" s="170" t="s">
        <v>153</v>
      </c>
      <c r="C44" s="123"/>
      <c r="D44" s="124"/>
      <c r="E44" s="8" t="s">
        <v>458</v>
      </c>
      <c r="F44" s="18" t="s">
        <v>89</v>
      </c>
      <c r="G44" s="19" t="s">
        <v>154</v>
      </c>
      <c r="H44" s="20" t="s">
        <v>34</v>
      </c>
      <c r="I44" s="8" t="str">
        <f t="shared" si="0"/>
        <v>INSPECCION DE CAMION CISTERNA GSI-FO-036 Ver. 00 de fecha 7/07/2025</v>
      </c>
      <c r="J44" s="49"/>
      <c r="K44" s="21" t="s">
        <v>31</v>
      </c>
      <c r="L44" s="18" t="s">
        <v>36</v>
      </c>
      <c r="M44" s="11" t="s">
        <v>141</v>
      </c>
      <c r="N44" s="21" t="s">
        <v>38</v>
      </c>
      <c r="O44" s="21" t="s">
        <v>91</v>
      </c>
      <c r="P44" s="18" t="s">
        <v>40</v>
      </c>
      <c r="Q44" s="18" t="s">
        <v>41</v>
      </c>
      <c r="R44" s="52" t="s">
        <v>394</v>
      </c>
      <c r="S44" s="17"/>
      <c r="T44" s="17"/>
      <c r="U44" s="17"/>
      <c r="V44" s="17"/>
      <c r="W44" s="17"/>
      <c r="X44" s="17"/>
      <c r="Y44" s="17"/>
      <c r="Z44" s="17"/>
      <c r="AA44" s="17"/>
    </row>
    <row r="45" spans="1:27" ht="67.5" customHeight="1" x14ac:dyDescent="0.2">
      <c r="A45" s="50">
        <v>36</v>
      </c>
      <c r="B45" s="170" t="s">
        <v>155</v>
      </c>
      <c r="C45" s="123"/>
      <c r="D45" s="124"/>
      <c r="E45" s="8" t="s">
        <v>458</v>
      </c>
      <c r="F45" s="18" t="s">
        <v>89</v>
      </c>
      <c r="G45" s="19" t="s">
        <v>156</v>
      </c>
      <c r="H45" s="20" t="s">
        <v>34</v>
      </c>
      <c r="I45" s="8" t="str">
        <f t="shared" si="0"/>
        <v>INSPECCION DE VOLQUETE GSI-FO-037 Ver. 00 de fecha 7/07/2025</v>
      </c>
      <c r="J45" s="49"/>
      <c r="K45" s="21" t="s">
        <v>31</v>
      </c>
      <c r="L45" s="18" t="s">
        <v>36</v>
      </c>
      <c r="M45" s="11" t="s">
        <v>141</v>
      </c>
      <c r="N45" s="21" t="s">
        <v>38</v>
      </c>
      <c r="O45" s="21" t="s">
        <v>91</v>
      </c>
      <c r="P45" s="18" t="s">
        <v>40</v>
      </c>
      <c r="Q45" s="18" t="s">
        <v>41</v>
      </c>
      <c r="R45" s="52" t="s">
        <v>394</v>
      </c>
      <c r="S45" s="17"/>
      <c r="T45" s="17"/>
      <c r="U45" s="17"/>
      <c r="V45" s="17"/>
      <c r="W45" s="17"/>
      <c r="X45" s="17"/>
      <c r="Y45" s="17"/>
      <c r="Z45" s="17"/>
      <c r="AA45" s="17"/>
    </row>
    <row r="46" spans="1:27" ht="67.5" customHeight="1" x14ac:dyDescent="0.2">
      <c r="A46" s="50">
        <v>37</v>
      </c>
      <c r="B46" s="170" t="s">
        <v>157</v>
      </c>
      <c r="C46" s="123"/>
      <c r="D46" s="124"/>
      <c r="E46" s="8" t="s">
        <v>458</v>
      </c>
      <c r="F46" s="18" t="s">
        <v>89</v>
      </c>
      <c r="G46" s="19" t="s">
        <v>158</v>
      </c>
      <c r="H46" s="20" t="s">
        <v>34</v>
      </c>
      <c r="I46" s="8" t="str">
        <f t="shared" si="0"/>
        <v>INSPECCION DE MIXER GSI-FO-038 Ver. 00 de fecha 7/07/2025</v>
      </c>
      <c r="J46" s="49"/>
      <c r="K46" s="21" t="s">
        <v>31</v>
      </c>
      <c r="L46" s="18" t="s">
        <v>36</v>
      </c>
      <c r="M46" s="11" t="s">
        <v>141</v>
      </c>
      <c r="N46" s="21" t="s">
        <v>38</v>
      </c>
      <c r="O46" s="21" t="s">
        <v>91</v>
      </c>
      <c r="P46" s="18" t="s">
        <v>40</v>
      </c>
      <c r="Q46" s="18" t="s">
        <v>41</v>
      </c>
      <c r="R46" s="52" t="s">
        <v>394</v>
      </c>
      <c r="S46" s="17"/>
      <c r="T46" s="17"/>
      <c r="U46" s="17"/>
      <c r="V46" s="17"/>
      <c r="W46" s="17"/>
      <c r="X46" s="17"/>
      <c r="Y46" s="17"/>
      <c r="Z46" s="17"/>
      <c r="AA46" s="17"/>
    </row>
    <row r="47" spans="1:27" ht="67.5" customHeight="1" x14ac:dyDescent="0.2">
      <c r="A47" s="50">
        <v>38</v>
      </c>
      <c r="B47" s="170" t="s">
        <v>159</v>
      </c>
      <c r="C47" s="123"/>
      <c r="D47" s="124"/>
      <c r="E47" s="8" t="s">
        <v>458</v>
      </c>
      <c r="F47" s="18" t="s">
        <v>89</v>
      </c>
      <c r="G47" s="19" t="s">
        <v>160</v>
      </c>
      <c r="H47" s="20" t="s">
        <v>34</v>
      </c>
      <c r="I47" s="8" t="str">
        <f t="shared" si="0"/>
        <v>INSPECCION DE GRUA GSI-FO-039 Ver. 00 de fecha 7/07/2025</v>
      </c>
      <c r="J47" s="49"/>
      <c r="K47" s="21" t="s">
        <v>31</v>
      </c>
      <c r="L47" s="18" t="s">
        <v>36</v>
      </c>
      <c r="M47" s="11" t="s">
        <v>141</v>
      </c>
      <c r="N47" s="21" t="s">
        <v>38</v>
      </c>
      <c r="O47" s="21" t="s">
        <v>91</v>
      </c>
      <c r="P47" s="18" t="s">
        <v>40</v>
      </c>
      <c r="Q47" s="18" t="s">
        <v>41</v>
      </c>
      <c r="R47" s="52" t="s">
        <v>394</v>
      </c>
      <c r="S47" s="17"/>
      <c r="T47" s="17"/>
      <c r="U47" s="17"/>
      <c r="V47" s="17"/>
      <c r="W47" s="17"/>
      <c r="X47" s="17"/>
      <c r="Y47" s="17"/>
      <c r="Z47" s="17"/>
      <c r="AA47" s="17"/>
    </row>
    <row r="48" spans="1:27" ht="67.5" customHeight="1" x14ac:dyDescent="0.2">
      <c r="A48" s="50">
        <v>39</v>
      </c>
      <c r="B48" s="170" t="s">
        <v>161</v>
      </c>
      <c r="C48" s="123"/>
      <c r="D48" s="124"/>
      <c r="E48" s="8" t="s">
        <v>458</v>
      </c>
      <c r="F48" s="18" t="s">
        <v>89</v>
      </c>
      <c r="G48" s="19" t="s">
        <v>162</v>
      </c>
      <c r="H48" s="20" t="s">
        <v>34</v>
      </c>
      <c r="I48" s="8" t="str">
        <f t="shared" si="0"/>
        <v>INSPECCION DE RETROEXCAVADORA GSI-FO-040 Ver. 00 de fecha 7/07/2025</v>
      </c>
      <c r="J48" s="49"/>
      <c r="K48" s="21" t="s">
        <v>31</v>
      </c>
      <c r="L48" s="18" t="s">
        <v>36</v>
      </c>
      <c r="M48" s="11" t="s">
        <v>141</v>
      </c>
      <c r="N48" s="21" t="s">
        <v>38</v>
      </c>
      <c r="O48" s="21" t="s">
        <v>91</v>
      </c>
      <c r="P48" s="18" t="s">
        <v>40</v>
      </c>
      <c r="Q48" s="18" t="s">
        <v>41</v>
      </c>
      <c r="R48" s="52" t="s">
        <v>394</v>
      </c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67.5" customHeight="1" x14ac:dyDescent="0.2">
      <c r="A49" s="50">
        <v>40</v>
      </c>
      <c r="B49" s="170" t="s">
        <v>163</v>
      </c>
      <c r="C49" s="123"/>
      <c r="D49" s="124"/>
      <c r="E49" s="8" t="s">
        <v>458</v>
      </c>
      <c r="F49" s="18" t="s">
        <v>89</v>
      </c>
      <c r="G49" s="19" t="s">
        <v>164</v>
      </c>
      <c r="H49" s="20" t="s">
        <v>34</v>
      </c>
      <c r="I49" s="8" t="str">
        <f t="shared" si="0"/>
        <v>INSPECCION DE MINICARGADOR GSI-FO-041 Ver. 00 de fecha 7/07/2025</v>
      </c>
      <c r="J49" s="49"/>
      <c r="K49" s="21" t="s">
        <v>31</v>
      </c>
      <c r="L49" s="18" t="s">
        <v>36</v>
      </c>
      <c r="M49" s="11" t="s">
        <v>141</v>
      </c>
      <c r="N49" s="21" t="s">
        <v>38</v>
      </c>
      <c r="O49" s="21" t="s">
        <v>91</v>
      </c>
      <c r="P49" s="18" t="s">
        <v>40</v>
      </c>
      <c r="Q49" s="18" t="s">
        <v>41</v>
      </c>
      <c r="R49" s="52" t="s">
        <v>394</v>
      </c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67.5" customHeight="1" x14ac:dyDescent="0.2">
      <c r="A50" s="50">
        <v>41</v>
      </c>
      <c r="B50" s="170" t="s">
        <v>165</v>
      </c>
      <c r="C50" s="123"/>
      <c r="D50" s="124"/>
      <c r="E50" s="8" t="s">
        <v>458</v>
      </c>
      <c r="F50" s="18" t="s">
        <v>89</v>
      </c>
      <c r="G50" s="19" t="s">
        <v>166</v>
      </c>
      <c r="H50" s="20" t="s">
        <v>34</v>
      </c>
      <c r="I50" s="8" t="str">
        <f t="shared" si="0"/>
        <v>INSPECCION DE CARGADOR FRONTAL GSI-FO-042 Ver. 00 de fecha 7/07/2025</v>
      </c>
      <c r="J50" s="49"/>
      <c r="K50" s="21" t="s">
        <v>31</v>
      </c>
      <c r="L50" s="18" t="s">
        <v>36</v>
      </c>
      <c r="M50" s="11" t="s">
        <v>141</v>
      </c>
      <c r="N50" s="21" t="s">
        <v>38</v>
      </c>
      <c r="O50" s="21" t="s">
        <v>91</v>
      </c>
      <c r="P50" s="18" t="s">
        <v>40</v>
      </c>
      <c r="Q50" s="18" t="s">
        <v>41</v>
      </c>
      <c r="R50" s="52" t="s">
        <v>394</v>
      </c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67.5" customHeight="1" x14ac:dyDescent="0.2">
      <c r="A51" s="50">
        <v>42</v>
      </c>
      <c r="B51" s="170" t="s">
        <v>167</v>
      </c>
      <c r="C51" s="123"/>
      <c r="D51" s="124"/>
      <c r="E51" s="8" t="s">
        <v>458</v>
      </c>
      <c r="F51" s="18" t="s">
        <v>89</v>
      </c>
      <c r="G51" s="19" t="s">
        <v>168</v>
      </c>
      <c r="H51" s="20" t="s">
        <v>34</v>
      </c>
      <c r="I51" s="8" t="str">
        <f t="shared" si="0"/>
        <v>INSPECCION DE MOTONIVELADORA GSI-FO-043 Ver. 00 de fecha 7/07/2025</v>
      </c>
      <c r="J51" s="49"/>
      <c r="K51" s="21" t="s">
        <v>31</v>
      </c>
      <c r="L51" s="18" t="s">
        <v>36</v>
      </c>
      <c r="M51" s="11" t="s">
        <v>141</v>
      </c>
      <c r="N51" s="21" t="s">
        <v>38</v>
      </c>
      <c r="O51" s="21" t="s">
        <v>91</v>
      </c>
      <c r="P51" s="18" t="s">
        <v>40</v>
      </c>
      <c r="Q51" s="18" t="s">
        <v>41</v>
      </c>
      <c r="R51" s="52" t="s">
        <v>394</v>
      </c>
      <c r="S51" s="17"/>
      <c r="T51" s="17"/>
      <c r="U51" s="17"/>
      <c r="V51" s="17"/>
      <c r="W51" s="17"/>
      <c r="X51" s="17"/>
      <c r="Y51" s="17"/>
      <c r="Z51" s="17"/>
      <c r="AA51" s="17"/>
    </row>
    <row r="52" spans="1:27" ht="67.5" customHeight="1" x14ac:dyDescent="0.2">
      <c r="A52" s="50">
        <v>43</v>
      </c>
      <c r="B52" s="170" t="s">
        <v>169</v>
      </c>
      <c r="C52" s="123"/>
      <c r="D52" s="124"/>
      <c r="E52" s="8" t="s">
        <v>458</v>
      </c>
      <c r="F52" s="18" t="s">
        <v>89</v>
      </c>
      <c r="G52" s="19" t="s">
        <v>170</v>
      </c>
      <c r="H52" s="20" t="s">
        <v>34</v>
      </c>
      <c r="I52" s="8" t="str">
        <f t="shared" si="0"/>
        <v>INSPECCION DE EXCAVADORA GSI-FO-044 Ver. 00 de fecha 7/07/2025</v>
      </c>
      <c r="J52" s="49"/>
      <c r="K52" s="21" t="s">
        <v>31</v>
      </c>
      <c r="L52" s="18" t="s">
        <v>36</v>
      </c>
      <c r="M52" s="11" t="s">
        <v>141</v>
      </c>
      <c r="N52" s="21" t="s">
        <v>38</v>
      </c>
      <c r="O52" s="21" t="s">
        <v>91</v>
      </c>
      <c r="P52" s="18" t="s">
        <v>40</v>
      </c>
      <c r="Q52" s="18" t="s">
        <v>41</v>
      </c>
      <c r="R52" s="52" t="s">
        <v>394</v>
      </c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67.5" customHeight="1" x14ac:dyDescent="0.2">
      <c r="A53" s="50">
        <v>44</v>
      </c>
      <c r="B53" s="170" t="s">
        <v>171</v>
      </c>
      <c r="C53" s="123"/>
      <c r="D53" s="124"/>
      <c r="E53" s="8" t="s">
        <v>458</v>
      </c>
      <c r="F53" s="18" t="s">
        <v>89</v>
      </c>
      <c r="G53" s="19" t="s">
        <v>172</v>
      </c>
      <c r="H53" s="20" t="s">
        <v>34</v>
      </c>
      <c r="I53" s="8" t="str">
        <f t="shared" si="0"/>
        <v>INSPECCION DE TRACTOR GSI-FO-045 Ver. 00 de fecha 7/07/2025</v>
      </c>
      <c r="J53" s="49"/>
      <c r="K53" s="21" t="s">
        <v>31</v>
      </c>
      <c r="L53" s="18" t="s">
        <v>36</v>
      </c>
      <c r="M53" s="11" t="s">
        <v>141</v>
      </c>
      <c r="N53" s="21" t="s">
        <v>38</v>
      </c>
      <c r="O53" s="21" t="s">
        <v>91</v>
      </c>
      <c r="P53" s="18" t="s">
        <v>40</v>
      </c>
      <c r="Q53" s="18" t="s">
        <v>41</v>
      </c>
      <c r="R53" s="52" t="s">
        <v>394</v>
      </c>
      <c r="S53" s="17"/>
      <c r="T53" s="17"/>
      <c r="U53" s="17"/>
      <c r="V53" s="17"/>
      <c r="W53" s="17"/>
      <c r="X53" s="17"/>
      <c r="Y53" s="17"/>
      <c r="Z53" s="17"/>
      <c r="AA53" s="17"/>
    </row>
    <row r="54" spans="1:27" ht="67.5" customHeight="1" x14ac:dyDescent="0.2">
      <c r="A54" s="50">
        <v>45</v>
      </c>
      <c r="B54" s="170" t="s">
        <v>173</v>
      </c>
      <c r="C54" s="123"/>
      <c r="D54" s="124"/>
      <c r="E54" s="8" t="s">
        <v>458</v>
      </c>
      <c r="F54" s="18" t="s">
        <v>89</v>
      </c>
      <c r="G54" s="19" t="s">
        <v>174</v>
      </c>
      <c r="H54" s="20" t="s">
        <v>34</v>
      </c>
      <c r="I54" s="8" t="str">
        <f t="shared" si="0"/>
        <v>INSPECCION DE EXCAVADORA SOBRE ORUGAS GSI-FO-046 Ver. 00 de fecha 7/07/2025</v>
      </c>
      <c r="J54" s="49"/>
      <c r="K54" s="21" t="s">
        <v>31</v>
      </c>
      <c r="L54" s="18" t="s">
        <v>36</v>
      </c>
      <c r="M54" s="11" t="s">
        <v>141</v>
      </c>
      <c r="N54" s="21" t="s">
        <v>38</v>
      </c>
      <c r="O54" s="21" t="s">
        <v>91</v>
      </c>
      <c r="P54" s="18" t="s">
        <v>40</v>
      </c>
      <c r="Q54" s="18" t="s">
        <v>41</v>
      </c>
      <c r="R54" s="52" t="s">
        <v>394</v>
      </c>
      <c r="S54" s="17"/>
      <c r="T54" s="17"/>
      <c r="U54" s="17"/>
      <c r="V54" s="17"/>
      <c r="W54" s="17"/>
      <c r="X54" s="17"/>
      <c r="Y54" s="17"/>
      <c r="Z54" s="17"/>
      <c r="AA54" s="17"/>
    </row>
    <row r="55" spans="1:27" ht="67.5" customHeight="1" x14ac:dyDescent="0.2">
      <c r="A55" s="50">
        <v>46</v>
      </c>
      <c r="B55" s="170" t="s">
        <v>398</v>
      </c>
      <c r="C55" s="123"/>
      <c r="D55" s="124"/>
      <c r="E55" s="8" t="s">
        <v>458</v>
      </c>
      <c r="F55" s="18" t="s">
        <v>89</v>
      </c>
      <c r="G55" s="19" t="s">
        <v>175</v>
      </c>
      <c r="H55" s="20" t="s">
        <v>34</v>
      </c>
      <c r="I55" s="8" t="str">
        <f t="shared" si="0"/>
        <v>RENDICIÓN DE CAJA CHICA GSI-FO-047 Ver. 00 de fecha 7/07/2025</v>
      </c>
      <c r="J55" s="49"/>
      <c r="K55" s="21" t="s">
        <v>31</v>
      </c>
      <c r="L55" s="18" t="s">
        <v>36</v>
      </c>
      <c r="M55" s="11" t="s">
        <v>141</v>
      </c>
      <c r="N55" s="21" t="s">
        <v>38</v>
      </c>
      <c r="O55" s="21" t="s">
        <v>91</v>
      </c>
      <c r="P55" s="18" t="s">
        <v>40</v>
      </c>
      <c r="Q55" s="18" t="s">
        <v>41</v>
      </c>
      <c r="R55" s="52" t="s">
        <v>394</v>
      </c>
      <c r="S55" s="17"/>
      <c r="T55" s="17"/>
      <c r="U55" s="17"/>
      <c r="V55" s="17"/>
      <c r="W55" s="17"/>
      <c r="X55" s="17"/>
      <c r="Y55" s="17"/>
      <c r="Z55" s="17"/>
      <c r="AA55" s="17"/>
    </row>
    <row r="56" spans="1:27" ht="67.5" customHeight="1" x14ac:dyDescent="0.2">
      <c r="A56" s="50">
        <v>47</v>
      </c>
      <c r="B56" s="170" t="s">
        <v>399</v>
      </c>
      <c r="C56" s="123"/>
      <c r="D56" s="124"/>
      <c r="E56" s="8" t="s">
        <v>458</v>
      </c>
      <c r="F56" s="18" t="s">
        <v>89</v>
      </c>
      <c r="G56" s="19" t="s">
        <v>176</v>
      </c>
      <c r="H56" s="20" t="s">
        <v>34</v>
      </c>
      <c r="I56" s="8" t="str">
        <f t="shared" si="0"/>
        <v>RECIBO DE CAJA CHICA GSI-FO-048 Ver. 00 de fecha 7/07/2025</v>
      </c>
      <c r="J56" s="49"/>
      <c r="K56" s="21" t="s">
        <v>31</v>
      </c>
      <c r="L56" s="18" t="s">
        <v>36</v>
      </c>
      <c r="M56" s="11" t="s">
        <v>141</v>
      </c>
      <c r="N56" s="21" t="s">
        <v>38</v>
      </c>
      <c r="O56" s="21" t="s">
        <v>91</v>
      </c>
      <c r="P56" s="18" t="s">
        <v>40</v>
      </c>
      <c r="Q56" s="18" t="s">
        <v>41</v>
      </c>
      <c r="R56" s="52" t="s">
        <v>394</v>
      </c>
      <c r="S56" s="17"/>
      <c r="T56" s="17"/>
      <c r="U56" s="17"/>
      <c r="V56" s="17"/>
      <c r="W56" s="17"/>
      <c r="X56" s="17"/>
      <c r="Y56" s="17"/>
      <c r="Z56" s="17"/>
      <c r="AA56" s="17"/>
    </row>
    <row r="57" spans="1:27" ht="67.5" customHeight="1" x14ac:dyDescent="0.2">
      <c r="A57" s="50">
        <v>48</v>
      </c>
      <c r="B57" s="170" t="s">
        <v>177</v>
      </c>
      <c r="C57" s="123"/>
      <c r="D57" s="124"/>
      <c r="E57" s="8" t="s">
        <v>458</v>
      </c>
      <c r="F57" s="18" t="s">
        <v>89</v>
      </c>
      <c r="G57" s="19" t="s">
        <v>178</v>
      </c>
      <c r="H57" s="20" t="s">
        <v>34</v>
      </c>
      <c r="I57" s="8" t="str">
        <f t="shared" si="0"/>
        <v>INSPECCION DE ATORNILLADOR INALAM-TALADRO GSI-FO-049 Ver. 00 de fecha 7/07/2025</v>
      </c>
      <c r="J57" s="49"/>
      <c r="K57" s="21" t="s">
        <v>31</v>
      </c>
      <c r="L57" s="18" t="s">
        <v>36</v>
      </c>
      <c r="M57" s="11" t="s">
        <v>141</v>
      </c>
      <c r="N57" s="21" t="s">
        <v>38</v>
      </c>
      <c r="O57" s="21" t="s">
        <v>91</v>
      </c>
      <c r="P57" s="18" t="s">
        <v>40</v>
      </c>
      <c r="Q57" s="18" t="s">
        <v>41</v>
      </c>
      <c r="R57" s="52" t="s">
        <v>394</v>
      </c>
      <c r="S57" s="17"/>
      <c r="T57" s="17"/>
      <c r="U57" s="17"/>
      <c r="V57" s="17"/>
      <c r="W57" s="17"/>
      <c r="X57" s="17"/>
      <c r="Y57" s="17"/>
      <c r="Z57" s="17"/>
      <c r="AA57" s="17"/>
    </row>
    <row r="58" spans="1:27" ht="67.5" customHeight="1" x14ac:dyDescent="0.2">
      <c r="A58" s="50">
        <v>49</v>
      </c>
      <c r="B58" s="170" t="s">
        <v>179</v>
      </c>
      <c r="C58" s="123"/>
      <c r="D58" s="124"/>
      <c r="E58" s="8" t="s">
        <v>458</v>
      </c>
      <c r="F58" s="18" t="s">
        <v>89</v>
      </c>
      <c r="G58" s="19" t="s">
        <v>180</v>
      </c>
      <c r="H58" s="20" t="s">
        <v>34</v>
      </c>
      <c r="I58" s="8" t="str">
        <f t="shared" si="0"/>
        <v>CHECK LIST DE AMOLADORA GSI-FO-050 Ver. 00 de fecha 7/07/2025</v>
      </c>
      <c r="J58" s="49"/>
      <c r="K58" s="21" t="s">
        <v>31</v>
      </c>
      <c r="L58" s="18" t="s">
        <v>36</v>
      </c>
      <c r="M58" s="11" t="s">
        <v>141</v>
      </c>
      <c r="N58" s="21" t="s">
        <v>38</v>
      </c>
      <c r="O58" s="21" t="s">
        <v>91</v>
      </c>
      <c r="P58" s="18" t="s">
        <v>40</v>
      </c>
      <c r="Q58" s="18" t="s">
        <v>41</v>
      </c>
      <c r="R58" s="52" t="s">
        <v>394</v>
      </c>
      <c r="S58" s="17"/>
      <c r="T58" s="17"/>
      <c r="U58" s="17"/>
      <c r="V58" s="17"/>
      <c r="W58" s="17"/>
      <c r="X58" s="17"/>
      <c r="Y58" s="17"/>
      <c r="Z58" s="17"/>
      <c r="AA58" s="17"/>
    </row>
    <row r="59" spans="1:27" ht="67.5" customHeight="1" x14ac:dyDescent="0.2">
      <c r="A59" s="50">
        <v>50</v>
      </c>
      <c r="B59" s="170" t="s">
        <v>181</v>
      </c>
      <c r="C59" s="123"/>
      <c r="D59" s="124"/>
      <c r="E59" s="8" t="s">
        <v>458</v>
      </c>
      <c r="F59" s="18" t="s">
        <v>89</v>
      </c>
      <c r="G59" s="19" t="s">
        <v>182</v>
      </c>
      <c r="H59" s="20" t="s">
        <v>34</v>
      </c>
      <c r="I59" s="8" t="str">
        <f t="shared" si="0"/>
        <v>CHECK LIST BOMBA DE GRASA TIPO BALDE GSI-FO-051 Ver. 00 de fecha 7/07/2025</v>
      </c>
      <c r="J59" s="49"/>
      <c r="K59" s="21" t="s">
        <v>31</v>
      </c>
      <c r="L59" s="18" t="s">
        <v>36</v>
      </c>
      <c r="M59" s="11" t="s">
        <v>141</v>
      </c>
      <c r="N59" s="21" t="s">
        <v>38</v>
      </c>
      <c r="O59" s="21" t="s">
        <v>91</v>
      </c>
      <c r="P59" s="18" t="s">
        <v>40</v>
      </c>
      <c r="Q59" s="18" t="s">
        <v>41</v>
      </c>
      <c r="R59" s="52" t="s">
        <v>394</v>
      </c>
      <c r="S59" s="17"/>
      <c r="T59" s="17"/>
      <c r="U59" s="17"/>
      <c r="V59" s="17"/>
      <c r="W59" s="17"/>
      <c r="X59" s="17"/>
      <c r="Y59" s="17"/>
      <c r="Z59" s="17"/>
      <c r="AA59" s="17"/>
    </row>
    <row r="60" spans="1:27" ht="67.5" customHeight="1" x14ac:dyDescent="0.2">
      <c r="A60" s="50">
        <v>51</v>
      </c>
      <c r="B60" s="170" t="s">
        <v>183</v>
      </c>
      <c r="C60" s="123"/>
      <c r="D60" s="124"/>
      <c r="E60" s="8" t="s">
        <v>458</v>
      </c>
      <c r="F60" s="18" t="s">
        <v>89</v>
      </c>
      <c r="G60" s="19" t="s">
        <v>184</v>
      </c>
      <c r="H60" s="20" t="s">
        <v>34</v>
      </c>
      <c r="I60" s="8" t="str">
        <f t="shared" si="0"/>
        <v>CHECK LIST CEPILLO ELECTRICO GSI-FO-052 Ver. 00 de fecha 7/07/2025</v>
      </c>
      <c r="J60" s="49"/>
      <c r="K60" s="21" t="s">
        <v>31</v>
      </c>
      <c r="L60" s="18" t="s">
        <v>36</v>
      </c>
      <c r="M60" s="11" t="s">
        <v>141</v>
      </c>
      <c r="N60" s="21" t="s">
        <v>38</v>
      </c>
      <c r="O60" s="21" t="s">
        <v>91</v>
      </c>
      <c r="P60" s="18" t="s">
        <v>40</v>
      </c>
      <c r="Q60" s="18" t="s">
        <v>41</v>
      </c>
      <c r="R60" s="52" t="s">
        <v>394</v>
      </c>
      <c r="S60" s="17"/>
      <c r="T60" s="17"/>
      <c r="U60" s="17"/>
      <c r="V60" s="17"/>
      <c r="W60" s="17"/>
      <c r="X60" s="17"/>
      <c r="Y60" s="17"/>
      <c r="Z60" s="17"/>
      <c r="AA60" s="17"/>
    </row>
    <row r="61" spans="1:27" ht="67.5" customHeight="1" x14ac:dyDescent="0.2">
      <c r="A61" s="50">
        <v>52</v>
      </c>
      <c r="B61" s="170" t="s">
        <v>185</v>
      </c>
      <c r="C61" s="123"/>
      <c r="D61" s="124"/>
      <c r="E61" s="8" t="s">
        <v>458</v>
      </c>
      <c r="F61" s="18" t="s">
        <v>89</v>
      </c>
      <c r="G61" s="19" t="s">
        <v>186</v>
      </c>
      <c r="H61" s="20" t="s">
        <v>34</v>
      </c>
      <c r="I61" s="8" t="str">
        <f t="shared" si="0"/>
        <v>CHECK LIST COMPRESORA DE AIRE 2.0 HP GSI-FO-053 Ver. 00 de fecha 7/07/2025</v>
      </c>
      <c r="J61" s="49"/>
      <c r="K61" s="21" t="s">
        <v>31</v>
      </c>
      <c r="L61" s="18" t="s">
        <v>36</v>
      </c>
      <c r="M61" s="11" t="s">
        <v>141</v>
      </c>
      <c r="N61" s="21" t="s">
        <v>38</v>
      </c>
      <c r="O61" s="21" t="s">
        <v>91</v>
      </c>
      <c r="P61" s="18" t="s">
        <v>40</v>
      </c>
      <c r="Q61" s="18" t="s">
        <v>41</v>
      </c>
      <c r="R61" s="52" t="s">
        <v>394</v>
      </c>
      <c r="S61" s="17"/>
      <c r="T61" s="17"/>
      <c r="U61" s="17"/>
      <c r="V61" s="17"/>
      <c r="W61" s="17"/>
      <c r="X61" s="17"/>
      <c r="Y61" s="17"/>
      <c r="Z61" s="17"/>
      <c r="AA61" s="17"/>
    </row>
    <row r="62" spans="1:27" ht="67.5" customHeight="1" x14ac:dyDescent="0.2">
      <c r="A62" s="50">
        <v>53</v>
      </c>
      <c r="B62" s="170" t="s">
        <v>187</v>
      </c>
      <c r="C62" s="123"/>
      <c r="D62" s="124"/>
      <c r="E62" s="8" t="s">
        <v>458</v>
      </c>
      <c r="F62" s="18" t="s">
        <v>89</v>
      </c>
      <c r="G62" s="19" t="s">
        <v>188</v>
      </c>
      <c r="H62" s="20" t="s">
        <v>34</v>
      </c>
      <c r="I62" s="8" t="str">
        <f t="shared" si="0"/>
        <v>CHECK LIST GENERADOR KHOLER CON AGARRADERA TIPO CARRETILLA GSI-FO-054 Ver. 00 de fecha 7/07/2025</v>
      </c>
      <c r="J62" s="49"/>
      <c r="K62" s="21" t="s">
        <v>31</v>
      </c>
      <c r="L62" s="18" t="s">
        <v>36</v>
      </c>
      <c r="M62" s="11" t="s">
        <v>141</v>
      </c>
      <c r="N62" s="21" t="s">
        <v>38</v>
      </c>
      <c r="O62" s="21" t="s">
        <v>91</v>
      </c>
      <c r="P62" s="18" t="s">
        <v>40</v>
      </c>
      <c r="Q62" s="18" t="s">
        <v>41</v>
      </c>
      <c r="R62" s="52" t="s">
        <v>394</v>
      </c>
      <c r="S62" s="17"/>
      <c r="T62" s="17"/>
      <c r="U62" s="17"/>
      <c r="V62" s="17"/>
      <c r="W62" s="17"/>
      <c r="X62" s="17"/>
      <c r="Y62" s="17"/>
      <c r="Z62" s="17"/>
      <c r="AA62" s="17"/>
    </row>
    <row r="63" spans="1:27" ht="67.5" customHeight="1" x14ac:dyDescent="0.2">
      <c r="A63" s="50">
        <v>54</v>
      </c>
      <c r="B63" s="170" t="s">
        <v>189</v>
      </c>
      <c r="C63" s="123"/>
      <c r="D63" s="124"/>
      <c r="E63" s="8" t="s">
        <v>458</v>
      </c>
      <c r="F63" s="18" t="s">
        <v>89</v>
      </c>
      <c r="G63" s="19" t="s">
        <v>190</v>
      </c>
      <c r="H63" s="20" t="s">
        <v>34</v>
      </c>
      <c r="I63" s="8" t="str">
        <f t="shared" si="0"/>
        <v>INSPECCION DE MARTILLO ELECTRICO DE DEMOLICION 200W HEXA118 GSI-FO-055 Ver. 00 de fecha 7/07/2025</v>
      </c>
      <c r="J63" s="49"/>
      <c r="K63" s="21" t="s">
        <v>31</v>
      </c>
      <c r="L63" s="18" t="s">
        <v>36</v>
      </c>
      <c r="M63" s="11" t="s">
        <v>141</v>
      </c>
      <c r="N63" s="21" t="s">
        <v>38</v>
      </c>
      <c r="O63" s="21" t="s">
        <v>91</v>
      </c>
      <c r="P63" s="18" t="s">
        <v>40</v>
      </c>
      <c r="Q63" s="18" t="s">
        <v>41</v>
      </c>
      <c r="R63" s="52" t="s">
        <v>394</v>
      </c>
      <c r="S63" s="17"/>
      <c r="T63" s="17"/>
      <c r="U63" s="17"/>
      <c r="V63" s="17"/>
      <c r="W63" s="17"/>
      <c r="X63" s="17"/>
      <c r="Y63" s="17"/>
      <c r="Z63" s="17"/>
      <c r="AA63" s="17"/>
    </row>
    <row r="64" spans="1:27" ht="67.5" customHeight="1" x14ac:dyDescent="0.2">
      <c r="A64" s="50">
        <v>55</v>
      </c>
      <c r="B64" s="170" t="s">
        <v>191</v>
      </c>
      <c r="C64" s="123"/>
      <c r="D64" s="124"/>
      <c r="E64" s="8" t="s">
        <v>458</v>
      </c>
      <c r="F64" s="18" t="s">
        <v>89</v>
      </c>
      <c r="G64" s="19" t="s">
        <v>192</v>
      </c>
      <c r="H64" s="20" t="s">
        <v>34</v>
      </c>
      <c r="I64" s="8" t="str">
        <f t="shared" si="0"/>
        <v>CHECK LIST DE TROMPO MEZCLADOR GSI-FO-056 Ver. 00 de fecha 7/07/2025</v>
      </c>
      <c r="J64" s="49"/>
      <c r="K64" s="21" t="s">
        <v>31</v>
      </c>
      <c r="L64" s="18" t="s">
        <v>36</v>
      </c>
      <c r="M64" s="11" t="s">
        <v>141</v>
      </c>
      <c r="N64" s="21" t="s">
        <v>38</v>
      </c>
      <c r="O64" s="21" t="s">
        <v>91</v>
      </c>
      <c r="P64" s="18" t="s">
        <v>40</v>
      </c>
      <c r="Q64" s="18" t="s">
        <v>41</v>
      </c>
      <c r="R64" s="52" t="s">
        <v>394</v>
      </c>
      <c r="S64" s="17"/>
      <c r="T64" s="17"/>
      <c r="U64" s="17"/>
      <c r="V64" s="17"/>
      <c r="W64" s="17"/>
      <c r="X64" s="17"/>
      <c r="Y64" s="17"/>
      <c r="Z64" s="17"/>
      <c r="AA64" s="17"/>
    </row>
    <row r="65" spans="1:27" ht="67.5" customHeight="1" x14ac:dyDescent="0.2">
      <c r="A65" s="50">
        <v>56</v>
      </c>
      <c r="B65" s="170" t="s">
        <v>193</v>
      </c>
      <c r="C65" s="123"/>
      <c r="D65" s="124"/>
      <c r="E65" s="8" t="s">
        <v>458</v>
      </c>
      <c r="F65" s="18" t="s">
        <v>89</v>
      </c>
      <c r="G65" s="19" t="s">
        <v>194</v>
      </c>
      <c r="H65" s="20" t="s">
        <v>34</v>
      </c>
      <c r="I65" s="8" t="str">
        <f t="shared" si="0"/>
        <v>INSPECCION DE MOTOBOMBA AUTOCEVANTE DE 2X2 GSI-FO-057 Ver. 00 de fecha 7/07/2025</v>
      </c>
      <c r="J65" s="49"/>
      <c r="K65" s="21" t="s">
        <v>31</v>
      </c>
      <c r="L65" s="18" t="s">
        <v>36</v>
      </c>
      <c r="M65" s="11" t="s">
        <v>141</v>
      </c>
      <c r="N65" s="21" t="s">
        <v>38</v>
      </c>
      <c r="O65" s="21" t="s">
        <v>91</v>
      </c>
      <c r="P65" s="18" t="s">
        <v>40</v>
      </c>
      <c r="Q65" s="18" t="s">
        <v>41</v>
      </c>
      <c r="R65" s="52" t="s">
        <v>394</v>
      </c>
      <c r="S65" s="17"/>
      <c r="T65" s="17"/>
      <c r="U65" s="17"/>
      <c r="V65" s="17"/>
      <c r="W65" s="17"/>
      <c r="X65" s="17"/>
      <c r="Y65" s="17"/>
      <c r="Z65" s="17"/>
      <c r="AA65" s="17"/>
    </row>
    <row r="66" spans="1:27" ht="67.5" customHeight="1" x14ac:dyDescent="0.2">
      <c r="A66" s="50">
        <v>57</v>
      </c>
      <c r="B66" s="170" t="s">
        <v>195</v>
      </c>
      <c r="C66" s="123"/>
      <c r="D66" s="124"/>
      <c r="E66" s="8" t="s">
        <v>458</v>
      </c>
      <c r="F66" s="18" t="s">
        <v>89</v>
      </c>
      <c r="G66" s="19" t="s">
        <v>196</v>
      </c>
      <c r="H66" s="20" t="s">
        <v>34</v>
      </c>
      <c r="I66" s="8" t="str">
        <f t="shared" si="0"/>
        <v>INSPECCION MOCHILA PARA CURADO DE CONCRETO GSI-FO-058 Ver. 00 de fecha 7/07/2025</v>
      </c>
      <c r="J66" s="49"/>
      <c r="K66" s="21" t="s">
        <v>31</v>
      </c>
      <c r="L66" s="18" t="s">
        <v>36</v>
      </c>
      <c r="M66" s="11" t="s">
        <v>141</v>
      </c>
      <c r="N66" s="21" t="s">
        <v>38</v>
      </c>
      <c r="O66" s="21" t="s">
        <v>91</v>
      </c>
      <c r="P66" s="18" t="s">
        <v>40</v>
      </c>
      <c r="Q66" s="18" t="s">
        <v>41</v>
      </c>
      <c r="R66" s="52" t="s">
        <v>394</v>
      </c>
      <c r="S66" s="17"/>
      <c r="T66" s="17"/>
      <c r="U66" s="17"/>
      <c r="V66" s="17"/>
      <c r="W66" s="17"/>
      <c r="X66" s="17"/>
      <c r="Y66" s="17"/>
      <c r="Z66" s="17"/>
      <c r="AA66" s="17"/>
    </row>
    <row r="67" spans="1:27" ht="67.5" customHeight="1" x14ac:dyDescent="0.2">
      <c r="A67" s="50">
        <v>58</v>
      </c>
      <c r="B67" s="170" t="s">
        <v>197</v>
      </c>
      <c r="C67" s="123"/>
      <c r="D67" s="124"/>
      <c r="E67" s="8" t="s">
        <v>458</v>
      </c>
      <c r="F67" s="18" t="s">
        <v>89</v>
      </c>
      <c r="G67" s="19" t="s">
        <v>198</v>
      </c>
      <c r="H67" s="20" t="s">
        <v>34</v>
      </c>
      <c r="I67" s="8" t="str">
        <f t="shared" si="0"/>
        <v>INSPECCION SOLDADORA ELECTRICA GSI-FO-059 Ver. 00 de fecha 7/07/2025</v>
      </c>
      <c r="J67" s="49"/>
      <c r="K67" s="21" t="s">
        <v>31</v>
      </c>
      <c r="L67" s="18" t="s">
        <v>36</v>
      </c>
      <c r="M67" s="11" t="s">
        <v>141</v>
      </c>
      <c r="N67" s="21" t="s">
        <v>38</v>
      </c>
      <c r="O67" s="21" t="s">
        <v>91</v>
      </c>
      <c r="P67" s="18" t="s">
        <v>40</v>
      </c>
      <c r="Q67" s="18" t="s">
        <v>41</v>
      </c>
      <c r="R67" s="52" t="s">
        <v>394</v>
      </c>
      <c r="S67" s="17"/>
      <c r="T67" s="17"/>
      <c r="U67" s="17"/>
      <c r="V67" s="17"/>
      <c r="W67" s="17"/>
      <c r="X67" s="17"/>
      <c r="Y67" s="17"/>
      <c r="Z67" s="17"/>
      <c r="AA67" s="17"/>
    </row>
    <row r="68" spans="1:27" ht="67.5" customHeight="1" x14ac:dyDescent="0.2">
      <c r="A68" s="50">
        <v>59</v>
      </c>
      <c r="B68" s="170" t="s">
        <v>199</v>
      </c>
      <c r="C68" s="123"/>
      <c r="D68" s="124"/>
      <c r="E68" s="8" t="s">
        <v>458</v>
      </c>
      <c r="F68" s="18" t="s">
        <v>89</v>
      </c>
      <c r="G68" s="19" t="s">
        <v>200</v>
      </c>
      <c r="H68" s="20" t="s">
        <v>34</v>
      </c>
      <c r="I68" s="8" t="str">
        <f t="shared" si="0"/>
        <v>INSPECCION MOCHILA SOPLADORA GSI-FO-060 Ver. 00 de fecha 7/07/2025</v>
      </c>
      <c r="J68" s="49"/>
      <c r="K68" s="21" t="s">
        <v>31</v>
      </c>
      <c r="L68" s="18" t="s">
        <v>36</v>
      </c>
      <c r="M68" s="11" t="s">
        <v>141</v>
      </c>
      <c r="N68" s="21" t="s">
        <v>38</v>
      </c>
      <c r="O68" s="21" t="s">
        <v>91</v>
      </c>
      <c r="P68" s="18" t="s">
        <v>40</v>
      </c>
      <c r="Q68" s="18" t="s">
        <v>41</v>
      </c>
      <c r="R68" s="52" t="s">
        <v>394</v>
      </c>
      <c r="S68" s="17"/>
      <c r="T68" s="17"/>
      <c r="U68" s="17"/>
      <c r="V68" s="17"/>
      <c r="W68" s="17"/>
      <c r="X68" s="17"/>
      <c r="Y68" s="17"/>
      <c r="Z68" s="17"/>
      <c r="AA68" s="17"/>
    </row>
    <row r="69" spans="1:27" ht="67.5" customHeight="1" x14ac:dyDescent="0.2">
      <c r="A69" s="50">
        <v>60</v>
      </c>
      <c r="B69" s="170" t="s">
        <v>201</v>
      </c>
      <c r="C69" s="123"/>
      <c r="D69" s="124"/>
      <c r="E69" s="8" t="s">
        <v>458</v>
      </c>
      <c r="F69" s="18" t="s">
        <v>89</v>
      </c>
      <c r="G69" s="19" t="s">
        <v>202</v>
      </c>
      <c r="H69" s="20" t="s">
        <v>34</v>
      </c>
      <c r="I69" s="8" t="str">
        <f t="shared" si="0"/>
        <v>INSPECCION VIBROAPISONADOR DE IMPACTO GSI-FO-061 Ver. 00 de fecha 7/07/2025</v>
      </c>
      <c r="J69" s="49"/>
      <c r="K69" s="21" t="s">
        <v>31</v>
      </c>
      <c r="L69" s="18" t="s">
        <v>36</v>
      </c>
      <c r="M69" s="11" t="s">
        <v>141</v>
      </c>
      <c r="N69" s="21" t="s">
        <v>38</v>
      </c>
      <c r="O69" s="21" t="s">
        <v>91</v>
      </c>
      <c r="P69" s="18" t="s">
        <v>40</v>
      </c>
      <c r="Q69" s="18" t="s">
        <v>41</v>
      </c>
      <c r="R69" s="52" t="s">
        <v>394</v>
      </c>
      <c r="S69" s="17"/>
      <c r="T69" s="17"/>
      <c r="U69" s="17"/>
      <c r="V69" s="17"/>
      <c r="W69" s="17"/>
      <c r="X69" s="17"/>
      <c r="Y69" s="17"/>
      <c r="Z69" s="17"/>
      <c r="AA69" s="17"/>
    </row>
    <row r="70" spans="1:27" ht="67.5" customHeight="1" x14ac:dyDescent="0.2">
      <c r="A70" s="50">
        <v>61</v>
      </c>
      <c r="B70" s="170" t="s">
        <v>203</v>
      </c>
      <c r="C70" s="123"/>
      <c r="D70" s="124"/>
      <c r="E70" s="8" t="s">
        <v>458</v>
      </c>
      <c r="F70" s="18" t="s">
        <v>89</v>
      </c>
      <c r="G70" s="19" t="s">
        <v>204</v>
      </c>
      <c r="H70" s="20" t="s">
        <v>34</v>
      </c>
      <c r="I70" s="8" t="str">
        <f t="shared" si="0"/>
        <v>INSPECCION EQUIPO OXICORTE GSI-FO-062 Ver. 00 de fecha 7/07/2025</v>
      </c>
      <c r="J70" s="49"/>
      <c r="K70" s="21" t="s">
        <v>31</v>
      </c>
      <c r="L70" s="18" t="s">
        <v>36</v>
      </c>
      <c r="M70" s="11" t="s">
        <v>141</v>
      </c>
      <c r="N70" s="21" t="s">
        <v>38</v>
      </c>
      <c r="O70" s="21" t="s">
        <v>91</v>
      </c>
      <c r="P70" s="18" t="s">
        <v>40</v>
      </c>
      <c r="Q70" s="18" t="s">
        <v>41</v>
      </c>
      <c r="R70" s="52" t="s">
        <v>394</v>
      </c>
      <c r="S70" s="17"/>
      <c r="T70" s="17"/>
      <c r="U70" s="17"/>
      <c r="V70" s="17"/>
      <c r="W70" s="17"/>
      <c r="X70" s="17"/>
      <c r="Y70" s="17"/>
      <c r="Z70" s="17"/>
      <c r="AA70" s="17"/>
    </row>
    <row r="71" spans="1:27" ht="67.5" customHeight="1" x14ac:dyDescent="0.2">
      <c r="A71" s="50">
        <v>62</v>
      </c>
      <c r="B71" s="170" t="s">
        <v>205</v>
      </c>
      <c r="C71" s="123"/>
      <c r="D71" s="124"/>
      <c r="E71" s="8" t="s">
        <v>458</v>
      </c>
      <c r="F71" s="18" t="s">
        <v>89</v>
      </c>
      <c r="G71" s="19" t="s">
        <v>206</v>
      </c>
      <c r="H71" s="20" t="s">
        <v>34</v>
      </c>
      <c r="I71" s="8" t="str">
        <f t="shared" si="0"/>
        <v>CHECK LIST PRE USO UNIDADES MOVILES GSI-FO-063 Ver. 00 de fecha 7/07/2025</v>
      </c>
      <c r="J71" s="49"/>
      <c r="K71" s="21" t="s">
        <v>31</v>
      </c>
      <c r="L71" s="18" t="s">
        <v>36</v>
      </c>
      <c r="M71" s="11" t="s">
        <v>141</v>
      </c>
      <c r="N71" s="21" t="s">
        <v>38</v>
      </c>
      <c r="O71" s="21" t="s">
        <v>91</v>
      </c>
      <c r="P71" s="18" t="s">
        <v>40</v>
      </c>
      <c r="Q71" s="18" t="s">
        <v>41</v>
      </c>
      <c r="R71" s="52" t="s">
        <v>394</v>
      </c>
      <c r="S71" s="17"/>
      <c r="T71" s="17"/>
      <c r="U71" s="17"/>
      <c r="V71" s="17"/>
      <c r="W71" s="17"/>
      <c r="X71" s="17"/>
      <c r="Y71" s="17"/>
      <c r="Z71" s="17"/>
      <c r="AA71" s="17"/>
    </row>
    <row r="72" spans="1:27" ht="67.5" customHeight="1" x14ac:dyDescent="0.2">
      <c r="A72" s="50">
        <v>63</v>
      </c>
      <c r="B72" s="170" t="s">
        <v>207</v>
      </c>
      <c r="C72" s="123"/>
      <c r="D72" s="124"/>
      <c r="E72" s="8" t="s">
        <v>458</v>
      </c>
      <c r="F72" s="18" t="s">
        <v>89</v>
      </c>
      <c r="G72" s="19" t="s">
        <v>208</v>
      </c>
      <c r="H72" s="20" t="s">
        <v>34</v>
      </c>
      <c r="I72" s="8" t="str">
        <f t="shared" si="0"/>
        <v>BAJA DE EQUIPO-REPARACION-MANTENIMIENTO GSI-FO-064 Ver. 00 de fecha 7/07/2025</v>
      </c>
      <c r="J72" s="49"/>
      <c r="K72" s="21" t="s">
        <v>31</v>
      </c>
      <c r="L72" s="18" t="s">
        <v>36</v>
      </c>
      <c r="M72" s="11" t="s">
        <v>141</v>
      </c>
      <c r="N72" s="21" t="s">
        <v>38</v>
      </c>
      <c r="O72" s="21" t="s">
        <v>91</v>
      </c>
      <c r="P72" s="18" t="s">
        <v>40</v>
      </c>
      <c r="Q72" s="18" t="s">
        <v>41</v>
      </c>
      <c r="R72" s="52" t="s">
        <v>394</v>
      </c>
      <c r="S72" s="17"/>
      <c r="T72" s="17"/>
      <c r="U72" s="17"/>
      <c r="V72" s="17"/>
      <c r="W72" s="17"/>
      <c r="X72" s="17"/>
      <c r="Y72" s="17"/>
      <c r="Z72" s="17"/>
      <c r="AA72" s="17"/>
    </row>
    <row r="73" spans="1:27" ht="67.5" customHeight="1" x14ac:dyDescent="0.2">
      <c r="A73" s="50">
        <v>64</v>
      </c>
      <c r="B73" s="170" t="s">
        <v>209</v>
      </c>
      <c r="C73" s="123"/>
      <c r="D73" s="124"/>
      <c r="E73" s="8" t="s">
        <v>458</v>
      </c>
      <c r="F73" s="18" t="s">
        <v>89</v>
      </c>
      <c r="G73" s="19" t="s">
        <v>210</v>
      </c>
      <c r="H73" s="20" t="s">
        <v>34</v>
      </c>
      <c r="I73" s="8" t="str">
        <f t="shared" si="0"/>
        <v>CHECK LIST HERRAMIENTAS MANUALES GSI-FO-065 Ver. 00 de fecha 7/07/2025</v>
      </c>
      <c r="J73" s="49"/>
      <c r="K73" s="21" t="s">
        <v>31</v>
      </c>
      <c r="L73" s="18" t="s">
        <v>36</v>
      </c>
      <c r="M73" s="11" t="s">
        <v>141</v>
      </c>
      <c r="N73" s="21" t="s">
        <v>38</v>
      </c>
      <c r="O73" s="21" t="s">
        <v>91</v>
      </c>
      <c r="P73" s="18" t="s">
        <v>40</v>
      </c>
      <c r="Q73" s="18" t="s">
        <v>41</v>
      </c>
      <c r="R73" s="52" t="s">
        <v>394</v>
      </c>
      <c r="S73" s="17"/>
      <c r="T73" s="17"/>
      <c r="U73" s="17"/>
      <c r="V73" s="17"/>
      <c r="W73" s="17"/>
      <c r="X73" s="17"/>
      <c r="Y73" s="17"/>
      <c r="Z73" s="17"/>
      <c r="AA73" s="17"/>
    </row>
    <row r="74" spans="1:27" ht="67.5" customHeight="1" x14ac:dyDescent="0.2">
      <c r="A74" s="50">
        <v>65</v>
      </c>
      <c r="B74" s="170" t="s">
        <v>211</v>
      </c>
      <c r="C74" s="123"/>
      <c r="D74" s="124"/>
      <c r="E74" s="8" t="s">
        <v>458</v>
      </c>
      <c r="F74" s="18" t="s">
        <v>89</v>
      </c>
      <c r="G74" s="19" t="s">
        <v>212</v>
      </c>
      <c r="H74" s="20" t="s">
        <v>34</v>
      </c>
      <c r="I74" s="8" t="str">
        <f t="shared" si="0"/>
        <v>CHECK LIST PRE USO BOMBA-DISPENSADOR-SHOTCRETERAS GSI-FO-066 Ver. 00 de fecha 7/07/2025</v>
      </c>
      <c r="J74" s="49"/>
      <c r="K74" s="21" t="s">
        <v>31</v>
      </c>
      <c r="L74" s="18" t="s">
        <v>36</v>
      </c>
      <c r="M74" s="11" t="s">
        <v>141</v>
      </c>
      <c r="N74" s="21" t="s">
        <v>38</v>
      </c>
      <c r="O74" s="21" t="s">
        <v>91</v>
      </c>
      <c r="P74" s="18" t="s">
        <v>40</v>
      </c>
      <c r="Q74" s="18" t="s">
        <v>41</v>
      </c>
      <c r="R74" s="52" t="s">
        <v>394</v>
      </c>
      <c r="S74" s="17"/>
      <c r="T74" s="17"/>
      <c r="U74" s="17"/>
      <c r="V74" s="17"/>
      <c r="W74" s="17"/>
      <c r="X74" s="17"/>
      <c r="Y74" s="17"/>
      <c r="Z74" s="17"/>
      <c r="AA74" s="17"/>
    </row>
    <row r="75" spans="1:27" ht="67.5" customHeight="1" x14ac:dyDescent="0.2">
      <c r="A75" s="18">
        <v>66</v>
      </c>
      <c r="B75" s="170" t="s">
        <v>213</v>
      </c>
      <c r="C75" s="123"/>
      <c r="D75" s="124"/>
      <c r="E75" s="8" t="s">
        <v>458</v>
      </c>
      <c r="F75" s="18" t="s">
        <v>89</v>
      </c>
      <c r="G75" s="19" t="s">
        <v>214</v>
      </c>
      <c r="H75" s="20" t="s">
        <v>34</v>
      </c>
      <c r="I75" s="8" t="str">
        <f t="shared" si="0"/>
        <v>INSPECCION ELEVADOR T1000 GSI-FO-067 Ver. 00 de fecha 7/07/2025</v>
      </c>
      <c r="J75" s="49"/>
      <c r="K75" s="21" t="s">
        <v>31</v>
      </c>
      <c r="L75" s="18" t="s">
        <v>36</v>
      </c>
      <c r="M75" s="11" t="s">
        <v>141</v>
      </c>
      <c r="N75" s="21" t="s">
        <v>38</v>
      </c>
      <c r="O75" s="21" t="s">
        <v>91</v>
      </c>
      <c r="P75" s="18" t="s">
        <v>40</v>
      </c>
      <c r="Q75" s="18" t="s">
        <v>41</v>
      </c>
      <c r="R75" s="52" t="s">
        <v>394</v>
      </c>
      <c r="S75" s="17"/>
      <c r="T75" s="17"/>
      <c r="U75" s="17"/>
      <c r="V75" s="17"/>
      <c r="W75" s="17"/>
      <c r="X75" s="17"/>
      <c r="Y75" s="17"/>
      <c r="Z75" s="17"/>
      <c r="AA75" s="17"/>
    </row>
    <row r="76" spans="1:27" ht="67.5" customHeight="1" x14ac:dyDescent="0.2">
      <c r="A76" s="18">
        <v>67</v>
      </c>
      <c r="B76" s="174" t="s">
        <v>215</v>
      </c>
      <c r="C76" s="123"/>
      <c r="D76" s="124"/>
      <c r="E76" s="8" t="s">
        <v>458</v>
      </c>
      <c r="F76" s="18" t="s">
        <v>89</v>
      </c>
      <c r="G76" s="19" t="s">
        <v>33</v>
      </c>
      <c r="H76" s="20" t="s">
        <v>34</v>
      </c>
      <c r="I76" s="8" t="str">
        <f t="shared" si="0"/>
        <v>REGISTRO MENSUAL DE ESTADISTICAS DE SST GSI-FO-001 Ver. 00 de fecha 7/07/2025</v>
      </c>
      <c r="J76" s="49"/>
      <c r="K76" s="18" t="s">
        <v>31</v>
      </c>
      <c r="L76" s="18" t="s">
        <v>36</v>
      </c>
      <c r="M76" s="11" t="s">
        <v>65</v>
      </c>
      <c r="N76" s="21" t="s">
        <v>38</v>
      </c>
      <c r="O76" s="21" t="s">
        <v>91</v>
      </c>
      <c r="P76" s="18" t="s">
        <v>40</v>
      </c>
      <c r="Q76" s="8" t="s">
        <v>216</v>
      </c>
      <c r="R76" s="52" t="s">
        <v>394</v>
      </c>
      <c r="S76" s="17"/>
      <c r="T76" s="17"/>
      <c r="U76" s="17"/>
      <c r="V76" s="17"/>
      <c r="W76" s="17"/>
      <c r="X76" s="17"/>
      <c r="Y76" s="17"/>
      <c r="Z76" s="17"/>
      <c r="AA76" s="17"/>
    </row>
    <row r="77" spans="1:27" ht="67.5" customHeight="1" x14ac:dyDescent="0.2">
      <c r="A77" s="18">
        <v>68</v>
      </c>
      <c r="B77" s="125" t="s">
        <v>217</v>
      </c>
      <c r="C77" s="123"/>
      <c r="D77" s="124"/>
      <c r="E77" s="8" t="s">
        <v>458</v>
      </c>
      <c r="F77" s="8" t="s">
        <v>89</v>
      </c>
      <c r="G77" s="9" t="s">
        <v>43</v>
      </c>
      <c r="H77" s="10" t="s">
        <v>34</v>
      </c>
      <c r="I77" s="8" t="str">
        <f t="shared" ref="I77:I140" si="1">_xlfn.CONCAT(B77," ",E77,"-",F77,"-",G77," Ver. ",H77," de fecha 7/07/2025")</f>
        <v>REGISTRO TRIMESTRAL DE ESTADÍSTICAS DE SST GSI-FO-002 Ver. 00 de fecha 7/07/2025</v>
      </c>
      <c r="J77" s="49"/>
      <c r="K77" s="8" t="s">
        <v>31</v>
      </c>
      <c r="L77" s="8" t="s">
        <v>36</v>
      </c>
      <c r="M77" s="11" t="s">
        <v>65</v>
      </c>
      <c r="N77" s="11" t="s">
        <v>38</v>
      </c>
      <c r="O77" s="11" t="s">
        <v>91</v>
      </c>
      <c r="P77" s="8" t="s">
        <v>40</v>
      </c>
      <c r="Q77" s="8" t="s">
        <v>216</v>
      </c>
      <c r="R77" s="52" t="s">
        <v>394</v>
      </c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67.5" customHeight="1" x14ac:dyDescent="0.2">
      <c r="A78" s="18">
        <v>69</v>
      </c>
      <c r="B78" s="125" t="s">
        <v>218</v>
      </c>
      <c r="C78" s="123"/>
      <c r="D78" s="124"/>
      <c r="E78" s="8" t="s">
        <v>458</v>
      </c>
      <c r="F78" s="8" t="s">
        <v>89</v>
      </c>
      <c r="G78" s="9" t="s">
        <v>45</v>
      </c>
      <c r="H78" s="10" t="s">
        <v>34</v>
      </c>
      <c r="I78" s="8" t="str">
        <f t="shared" si="1"/>
        <v>LISTA DE VERIFICACIÓN DE LINEAMIENTOS DEL SISTEMA DE GESTIÓN DE SEGURIDAD Y SALUD EN EL TRABAJO GSI-FO-003 Ver. 00 de fecha 7/07/2025</v>
      </c>
      <c r="J78" s="49"/>
      <c r="K78" s="11" t="s">
        <v>58</v>
      </c>
      <c r="L78" s="8" t="s">
        <v>59</v>
      </c>
      <c r="M78" s="11" t="s">
        <v>65</v>
      </c>
      <c r="N78" s="11" t="s">
        <v>38</v>
      </c>
      <c r="O78" s="11" t="s">
        <v>91</v>
      </c>
      <c r="P78" s="8" t="s">
        <v>40</v>
      </c>
      <c r="Q78" s="8" t="s">
        <v>216</v>
      </c>
      <c r="R78" s="52" t="s">
        <v>394</v>
      </c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67.5" customHeight="1" x14ac:dyDescent="0.2">
      <c r="A79" s="18">
        <v>70</v>
      </c>
      <c r="B79" s="125" t="s">
        <v>219</v>
      </c>
      <c r="C79" s="123"/>
      <c r="D79" s="124"/>
      <c r="E79" s="8" t="s">
        <v>458</v>
      </c>
      <c r="F79" s="8" t="s">
        <v>89</v>
      </c>
      <c r="G79" s="9" t="s">
        <v>47</v>
      </c>
      <c r="H79" s="10" t="s">
        <v>34</v>
      </c>
      <c r="I79" s="8" t="str">
        <f t="shared" si="1"/>
        <v>CARTA DEL EMPLEADOR SOLICITANDO CONVOCATORIA PARA ELECCIÓN DE LOS REPRESENTANTES DE TRABAJADORES GSI-FO-004 Ver. 00 de fecha 7/07/2025</v>
      </c>
      <c r="J79" s="49"/>
      <c r="K79" s="11" t="s">
        <v>58</v>
      </c>
      <c r="L79" s="8" t="s">
        <v>59</v>
      </c>
      <c r="M79" s="11" t="s">
        <v>65</v>
      </c>
      <c r="N79" s="11" t="s">
        <v>38</v>
      </c>
      <c r="O79" s="11" t="s">
        <v>91</v>
      </c>
      <c r="P79" s="8" t="s">
        <v>40</v>
      </c>
      <c r="Q79" s="8" t="s">
        <v>216</v>
      </c>
      <c r="R79" s="52" t="s">
        <v>394</v>
      </c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67.5" customHeight="1" x14ac:dyDescent="0.2">
      <c r="A80" s="18">
        <v>71</v>
      </c>
      <c r="B80" s="129" t="s">
        <v>220</v>
      </c>
      <c r="C80" s="123"/>
      <c r="D80" s="124"/>
      <c r="E80" s="8" t="s">
        <v>458</v>
      </c>
      <c r="F80" s="8" t="s">
        <v>89</v>
      </c>
      <c r="G80" s="9" t="s">
        <v>49</v>
      </c>
      <c r="H80" s="10" t="s">
        <v>34</v>
      </c>
      <c r="I80" s="8" t="str">
        <f t="shared" si="1"/>
        <v>CONVOCATORIA AL PROCESO DE ELECCIÓN  GSI-FO-005 Ver. 00 de fecha 7/07/2025</v>
      </c>
      <c r="J80" s="49"/>
      <c r="K80" s="11" t="s">
        <v>58</v>
      </c>
      <c r="L80" s="8" t="s">
        <v>59</v>
      </c>
      <c r="M80" s="11" t="s">
        <v>65</v>
      </c>
      <c r="N80" s="11" t="s">
        <v>38</v>
      </c>
      <c r="O80" s="11" t="s">
        <v>91</v>
      </c>
      <c r="P80" s="8" t="s">
        <v>40</v>
      </c>
      <c r="Q80" s="8" t="s">
        <v>216</v>
      </c>
      <c r="R80" s="52" t="s">
        <v>394</v>
      </c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67.5" customHeight="1" x14ac:dyDescent="0.2">
      <c r="A81" s="18">
        <v>72</v>
      </c>
      <c r="B81" s="129" t="s">
        <v>221</v>
      </c>
      <c r="C81" s="123"/>
      <c r="D81" s="124"/>
      <c r="E81" s="8" t="s">
        <v>458</v>
      </c>
      <c r="F81" s="8" t="s">
        <v>89</v>
      </c>
      <c r="G81" s="9" t="s">
        <v>51</v>
      </c>
      <c r="H81" s="10" t="s">
        <v>34</v>
      </c>
      <c r="I81" s="8" t="str">
        <f t="shared" si="1"/>
        <v>CARTA DE PRESENTACIÓN DE LA CANDIDATURA GSI-FO-006 Ver. 00 de fecha 7/07/2025</v>
      </c>
      <c r="J81" s="49"/>
      <c r="K81" s="11" t="s">
        <v>58</v>
      </c>
      <c r="L81" s="8" t="s">
        <v>59</v>
      </c>
      <c r="M81" s="11" t="s">
        <v>65</v>
      </c>
      <c r="N81" s="11" t="s">
        <v>38</v>
      </c>
      <c r="O81" s="11" t="s">
        <v>91</v>
      </c>
      <c r="P81" s="8" t="s">
        <v>40</v>
      </c>
      <c r="Q81" s="8" t="s">
        <v>216</v>
      </c>
      <c r="R81" s="52" t="s">
        <v>394</v>
      </c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67.5" customHeight="1" x14ac:dyDescent="0.2">
      <c r="A82" s="18">
        <v>73</v>
      </c>
      <c r="B82" s="129" t="s">
        <v>222</v>
      </c>
      <c r="C82" s="123"/>
      <c r="D82" s="124"/>
      <c r="E82" s="8" t="s">
        <v>458</v>
      </c>
      <c r="F82" s="8" t="s">
        <v>89</v>
      </c>
      <c r="G82" s="9" t="s">
        <v>53</v>
      </c>
      <c r="H82" s="10" t="s">
        <v>34</v>
      </c>
      <c r="I82" s="8" t="str">
        <f t="shared" si="1"/>
        <v>LISTA DE CANDIDATOS INSCRITOS PARA SER ELEGIDOS  GSI-FO-007 Ver. 00 de fecha 7/07/2025</v>
      </c>
      <c r="J82" s="49"/>
      <c r="K82" s="11" t="s">
        <v>58</v>
      </c>
      <c r="L82" s="8" t="s">
        <v>59</v>
      </c>
      <c r="M82" s="11" t="s">
        <v>65</v>
      </c>
      <c r="N82" s="11" t="s">
        <v>38</v>
      </c>
      <c r="O82" s="11" t="s">
        <v>91</v>
      </c>
      <c r="P82" s="8" t="s">
        <v>40</v>
      </c>
      <c r="Q82" s="8" t="s">
        <v>216</v>
      </c>
      <c r="R82" s="52" t="s">
        <v>394</v>
      </c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67.5" customHeight="1" x14ac:dyDescent="0.2">
      <c r="A83" s="18">
        <v>74</v>
      </c>
      <c r="B83" s="129" t="s">
        <v>223</v>
      </c>
      <c r="C83" s="123"/>
      <c r="D83" s="124"/>
      <c r="E83" s="8" t="s">
        <v>458</v>
      </c>
      <c r="F83" s="8" t="s">
        <v>89</v>
      </c>
      <c r="G83" s="9" t="s">
        <v>55</v>
      </c>
      <c r="H83" s="10" t="s">
        <v>34</v>
      </c>
      <c r="I83" s="8" t="str">
        <f t="shared" si="1"/>
        <v>LISTA DE CANDIDATOS INSCRITOS APTOS GSI-FO-008 Ver. 00 de fecha 7/07/2025</v>
      </c>
      <c r="J83" s="49"/>
      <c r="K83" s="11" t="s">
        <v>58</v>
      </c>
      <c r="L83" s="8" t="s">
        <v>59</v>
      </c>
      <c r="M83" s="11" t="s">
        <v>65</v>
      </c>
      <c r="N83" s="11" t="s">
        <v>38</v>
      </c>
      <c r="O83" s="11" t="s">
        <v>91</v>
      </c>
      <c r="P83" s="8" t="s">
        <v>40</v>
      </c>
      <c r="Q83" s="8" t="s">
        <v>216</v>
      </c>
      <c r="R83" s="52" t="s">
        <v>394</v>
      </c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67.5" customHeight="1" x14ac:dyDescent="0.2">
      <c r="A84" s="18">
        <v>75</v>
      </c>
      <c r="B84" s="129" t="s">
        <v>224</v>
      </c>
      <c r="C84" s="123"/>
      <c r="D84" s="124"/>
      <c r="E84" s="8" t="s">
        <v>458</v>
      </c>
      <c r="F84" s="8" t="s">
        <v>89</v>
      </c>
      <c r="G84" s="9" t="s">
        <v>57</v>
      </c>
      <c r="H84" s="10" t="s">
        <v>34</v>
      </c>
      <c r="I84" s="8" t="str">
        <f t="shared" si="1"/>
        <v>PADRÓN ELECTORAL DEL PROCESO DE ELECCIÓN GSI-FO-009 Ver. 00 de fecha 7/07/2025</v>
      </c>
      <c r="J84" s="49"/>
      <c r="K84" s="11" t="s">
        <v>58</v>
      </c>
      <c r="L84" s="8" t="s">
        <v>59</v>
      </c>
      <c r="M84" s="11" t="s">
        <v>65</v>
      </c>
      <c r="N84" s="11" t="s">
        <v>38</v>
      </c>
      <c r="O84" s="11" t="s">
        <v>91</v>
      </c>
      <c r="P84" s="8" t="s">
        <v>40</v>
      </c>
      <c r="Q84" s="8" t="s">
        <v>216</v>
      </c>
      <c r="R84" s="52" t="s">
        <v>394</v>
      </c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67.5" customHeight="1" x14ac:dyDescent="0.2">
      <c r="A85" s="18">
        <v>76</v>
      </c>
      <c r="B85" s="129" t="s">
        <v>225</v>
      </c>
      <c r="C85" s="123"/>
      <c r="D85" s="124"/>
      <c r="E85" s="8" t="s">
        <v>458</v>
      </c>
      <c r="F85" s="8" t="s">
        <v>89</v>
      </c>
      <c r="G85" s="9" t="s">
        <v>61</v>
      </c>
      <c r="H85" s="10" t="s">
        <v>34</v>
      </c>
      <c r="I85" s="8" t="str">
        <f t="shared" si="1"/>
        <v>ACTA DE INICIO DEL PROCESO DE VOTACIÓN GSI-FO-010 Ver. 00 de fecha 7/07/2025</v>
      </c>
      <c r="J85" s="49"/>
      <c r="K85" s="11" t="s">
        <v>58</v>
      </c>
      <c r="L85" s="8" t="s">
        <v>59</v>
      </c>
      <c r="M85" s="11" t="s">
        <v>65</v>
      </c>
      <c r="N85" s="11" t="s">
        <v>38</v>
      </c>
      <c r="O85" s="11" t="s">
        <v>91</v>
      </c>
      <c r="P85" s="8" t="s">
        <v>40</v>
      </c>
      <c r="Q85" s="8" t="s">
        <v>216</v>
      </c>
      <c r="R85" s="52" t="s">
        <v>394</v>
      </c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67.5" customHeight="1" x14ac:dyDescent="0.2">
      <c r="A86" s="18">
        <v>77</v>
      </c>
      <c r="B86" s="129" t="s">
        <v>226</v>
      </c>
      <c r="C86" s="123"/>
      <c r="D86" s="124"/>
      <c r="E86" s="8" t="s">
        <v>458</v>
      </c>
      <c r="F86" s="8" t="s">
        <v>89</v>
      </c>
      <c r="G86" s="9" t="s">
        <v>63</v>
      </c>
      <c r="H86" s="10" t="s">
        <v>34</v>
      </c>
      <c r="I86" s="8" t="str">
        <f t="shared" si="1"/>
        <v>ACTA DE CONCLUSIÓN DEL PROCESO DE VOTACIÓN GSI-FO-011 Ver. 00 de fecha 7/07/2025</v>
      </c>
      <c r="J86" s="49"/>
      <c r="K86" s="11" t="s">
        <v>58</v>
      </c>
      <c r="L86" s="8" t="s">
        <v>59</v>
      </c>
      <c r="M86" s="11" t="s">
        <v>65</v>
      </c>
      <c r="N86" s="11" t="s">
        <v>38</v>
      </c>
      <c r="O86" s="11" t="s">
        <v>91</v>
      </c>
      <c r="P86" s="8" t="s">
        <v>40</v>
      </c>
      <c r="Q86" s="8" t="s">
        <v>216</v>
      </c>
      <c r="R86" s="52" t="s">
        <v>394</v>
      </c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67.5" customHeight="1" x14ac:dyDescent="0.2">
      <c r="A87" s="18">
        <v>78</v>
      </c>
      <c r="B87" s="129" t="s">
        <v>227</v>
      </c>
      <c r="C87" s="123"/>
      <c r="D87" s="124"/>
      <c r="E87" s="8" t="s">
        <v>458</v>
      </c>
      <c r="F87" s="8" t="s">
        <v>89</v>
      </c>
      <c r="G87" s="9" t="s">
        <v>109</v>
      </c>
      <c r="H87" s="10" t="s">
        <v>34</v>
      </c>
      <c r="I87" s="8" t="str">
        <f t="shared" si="1"/>
        <v>PROCESO DE ELECCIÓN DE LOS REPRESENTANTES TITULARES Y SUPLENTES DE LOS TRABAJADORES GSI-FO-012 Ver. 00 de fecha 7/07/2025</v>
      </c>
      <c r="J87" s="49"/>
      <c r="K87" s="11" t="s">
        <v>58</v>
      </c>
      <c r="L87" s="8" t="s">
        <v>59</v>
      </c>
      <c r="M87" s="11" t="s">
        <v>65</v>
      </c>
      <c r="N87" s="11" t="s">
        <v>38</v>
      </c>
      <c r="O87" s="11" t="s">
        <v>91</v>
      </c>
      <c r="P87" s="8" t="s">
        <v>40</v>
      </c>
      <c r="Q87" s="8" t="s">
        <v>216</v>
      </c>
      <c r="R87" s="52" t="s">
        <v>394</v>
      </c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67.5" customHeight="1" x14ac:dyDescent="0.2">
      <c r="A88" s="18">
        <v>79</v>
      </c>
      <c r="B88" s="129" t="s">
        <v>228</v>
      </c>
      <c r="C88" s="123"/>
      <c r="D88" s="124"/>
      <c r="E88" s="8" t="s">
        <v>458</v>
      </c>
      <c r="F88" s="8" t="s">
        <v>89</v>
      </c>
      <c r="G88" s="9" t="s">
        <v>111</v>
      </c>
      <c r="H88" s="10" t="s">
        <v>34</v>
      </c>
      <c r="I88" s="8" t="str">
        <f t="shared" si="1"/>
        <v>ACTA DE INSTALACIÓN DEL COMITÉ DE SEGURIDAD Y SALUD EN EL TRABAJO GSI-FO-013 Ver. 00 de fecha 7/07/2025</v>
      </c>
      <c r="J88" s="49"/>
      <c r="K88" s="11" t="s">
        <v>58</v>
      </c>
      <c r="L88" s="8" t="s">
        <v>59</v>
      </c>
      <c r="M88" s="11" t="s">
        <v>65</v>
      </c>
      <c r="N88" s="11" t="s">
        <v>38</v>
      </c>
      <c r="O88" s="11" t="s">
        <v>91</v>
      </c>
      <c r="P88" s="8" t="s">
        <v>40</v>
      </c>
      <c r="Q88" s="8" t="s">
        <v>216</v>
      </c>
      <c r="R88" s="52" t="s">
        <v>394</v>
      </c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67.5" customHeight="1" x14ac:dyDescent="0.2">
      <c r="A89" s="18">
        <v>80</v>
      </c>
      <c r="B89" s="129" t="s">
        <v>229</v>
      </c>
      <c r="C89" s="123"/>
      <c r="D89" s="124"/>
      <c r="E89" s="8" t="s">
        <v>458</v>
      </c>
      <c r="F89" s="8" t="s">
        <v>89</v>
      </c>
      <c r="G89" s="9" t="s">
        <v>113</v>
      </c>
      <c r="H89" s="10" t="s">
        <v>34</v>
      </c>
      <c r="I89" s="8" t="str">
        <f t="shared" si="1"/>
        <v>AGENDA PARA LAS REUNIONES DEL CSST GSI-FO-014 Ver. 00 de fecha 7/07/2025</v>
      </c>
      <c r="J89" s="49"/>
      <c r="K89" s="11" t="s">
        <v>58</v>
      </c>
      <c r="L89" s="8" t="s">
        <v>59</v>
      </c>
      <c r="M89" s="11" t="s">
        <v>65</v>
      </c>
      <c r="N89" s="11" t="s">
        <v>38</v>
      </c>
      <c r="O89" s="11" t="s">
        <v>91</v>
      </c>
      <c r="P89" s="8" t="s">
        <v>40</v>
      </c>
      <c r="Q89" s="8" t="s">
        <v>216</v>
      </c>
      <c r="R89" s="52" t="s">
        <v>394</v>
      </c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67.5" customHeight="1" x14ac:dyDescent="0.2">
      <c r="A90" s="18">
        <v>81</v>
      </c>
      <c r="B90" s="129" t="s">
        <v>230</v>
      </c>
      <c r="C90" s="123"/>
      <c r="D90" s="124"/>
      <c r="E90" s="8" t="s">
        <v>458</v>
      </c>
      <c r="F90" s="8" t="s">
        <v>89</v>
      </c>
      <c r="G90" s="9" t="s">
        <v>115</v>
      </c>
      <c r="H90" s="10" t="s">
        <v>34</v>
      </c>
      <c r="I90" s="8" t="str">
        <f t="shared" si="1"/>
        <v>ACTA DE REUNIÓN DE CSST GSI-FO-015 Ver. 00 de fecha 7/07/2025</v>
      </c>
      <c r="J90" s="49"/>
      <c r="K90" s="11" t="s">
        <v>58</v>
      </c>
      <c r="L90" s="8" t="s">
        <v>59</v>
      </c>
      <c r="M90" s="11" t="s">
        <v>65</v>
      </c>
      <c r="N90" s="11" t="s">
        <v>38</v>
      </c>
      <c r="O90" s="11" t="s">
        <v>91</v>
      </c>
      <c r="P90" s="8" t="s">
        <v>40</v>
      </c>
      <c r="Q90" s="8" t="s">
        <v>216</v>
      </c>
      <c r="R90" s="52" t="s">
        <v>394</v>
      </c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67.5" customHeight="1" x14ac:dyDescent="0.2">
      <c r="A91" s="18">
        <v>82</v>
      </c>
      <c r="B91" s="129" t="s">
        <v>231</v>
      </c>
      <c r="C91" s="123"/>
      <c r="D91" s="124"/>
      <c r="E91" s="8" t="s">
        <v>458</v>
      </c>
      <c r="F91" s="8" t="s">
        <v>89</v>
      </c>
      <c r="G91" s="9" t="s">
        <v>117</v>
      </c>
      <c r="H91" s="10" t="s">
        <v>34</v>
      </c>
      <c r="I91" s="8" t="str">
        <f t="shared" si="1"/>
        <v>CRONOGRAMA DE ELECCIÓN DE SUBCOMITÉ DE SST GSI-FO-016 Ver. 00 de fecha 7/07/2025</v>
      </c>
      <c r="J91" s="49"/>
      <c r="K91" s="11" t="s">
        <v>58</v>
      </c>
      <c r="L91" s="8" t="s">
        <v>59</v>
      </c>
      <c r="M91" s="11" t="s">
        <v>65</v>
      </c>
      <c r="N91" s="11" t="s">
        <v>38</v>
      </c>
      <c r="O91" s="11" t="s">
        <v>91</v>
      </c>
      <c r="P91" s="8" t="s">
        <v>40</v>
      </c>
      <c r="Q91" s="8" t="s">
        <v>216</v>
      </c>
      <c r="R91" s="52" t="s">
        <v>394</v>
      </c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67.5" customHeight="1" x14ac:dyDescent="0.2">
      <c r="A92" s="18">
        <v>83</v>
      </c>
      <c r="B92" s="129" t="s">
        <v>232</v>
      </c>
      <c r="C92" s="123"/>
      <c r="D92" s="124"/>
      <c r="E92" s="8" t="s">
        <v>458</v>
      </c>
      <c r="F92" s="8" t="s">
        <v>89</v>
      </c>
      <c r="G92" s="9" t="s">
        <v>120</v>
      </c>
      <c r="H92" s="10" t="s">
        <v>34</v>
      </c>
      <c r="I92" s="8" t="str">
        <f t="shared" si="1"/>
        <v>PROGRAMA ANUAL DE SST GSI-FO-017 Ver. 00 de fecha 7/07/2025</v>
      </c>
      <c r="J92" s="49"/>
      <c r="K92" s="11" t="s">
        <v>58</v>
      </c>
      <c r="L92" s="8" t="s">
        <v>59</v>
      </c>
      <c r="M92" s="11" t="s">
        <v>65</v>
      </c>
      <c r="N92" s="11" t="s">
        <v>38</v>
      </c>
      <c r="O92" s="11" t="s">
        <v>91</v>
      </c>
      <c r="P92" s="8" t="s">
        <v>40</v>
      </c>
      <c r="Q92" s="8" t="s">
        <v>216</v>
      </c>
      <c r="R92" s="52" t="s">
        <v>394</v>
      </c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67.5" customHeight="1" x14ac:dyDescent="0.2">
      <c r="A93" s="18">
        <v>84</v>
      </c>
      <c r="B93" s="129" t="s">
        <v>233</v>
      </c>
      <c r="C93" s="123"/>
      <c r="D93" s="124"/>
      <c r="E93" s="8" t="s">
        <v>458</v>
      </c>
      <c r="F93" s="8" t="s">
        <v>89</v>
      </c>
      <c r="G93" s="9" t="s">
        <v>234</v>
      </c>
      <c r="H93" s="10" t="s">
        <v>34</v>
      </c>
      <c r="I93" s="8" t="str">
        <f t="shared" si="1"/>
        <v>ENTREGA DE EQUIPOS DE PROTECCIÓN PERSONAL GSI-FO-018 Ver. 00 de fecha 7/07/2025</v>
      </c>
      <c r="J93" s="49"/>
      <c r="K93" s="11" t="s">
        <v>58</v>
      </c>
      <c r="L93" s="8" t="s">
        <v>59</v>
      </c>
      <c r="M93" s="11" t="s">
        <v>65</v>
      </c>
      <c r="N93" s="11" t="s">
        <v>38</v>
      </c>
      <c r="O93" s="11" t="s">
        <v>91</v>
      </c>
      <c r="P93" s="8" t="s">
        <v>40</v>
      </c>
      <c r="Q93" s="8" t="s">
        <v>216</v>
      </c>
      <c r="R93" s="52" t="s">
        <v>394</v>
      </c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67.5" customHeight="1" x14ac:dyDescent="0.2">
      <c r="A94" s="18">
        <v>85</v>
      </c>
      <c r="B94" s="173" t="s">
        <v>235</v>
      </c>
      <c r="C94" s="123"/>
      <c r="D94" s="124"/>
      <c r="E94" s="8" t="s">
        <v>458</v>
      </c>
      <c r="F94" s="8" t="s">
        <v>89</v>
      </c>
      <c r="G94" s="9" t="s">
        <v>122</v>
      </c>
      <c r="H94" s="10" t="s">
        <v>34</v>
      </c>
      <c r="I94" s="8" t="str">
        <f t="shared" si="1"/>
        <v>INSPECCIÓN DE EQUIPOS DE PROTECCIÓN PERSONAL GSI-FO-019 Ver. 00 de fecha 7/07/2025</v>
      </c>
      <c r="J94" s="49"/>
      <c r="K94" s="11" t="s">
        <v>58</v>
      </c>
      <c r="L94" s="8" t="s">
        <v>59</v>
      </c>
      <c r="M94" s="11" t="s">
        <v>65</v>
      </c>
      <c r="N94" s="11" t="s">
        <v>38</v>
      </c>
      <c r="O94" s="11" t="s">
        <v>91</v>
      </c>
      <c r="P94" s="8" t="s">
        <v>40</v>
      </c>
      <c r="Q94" s="8" t="s">
        <v>216</v>
      </c>
      <c r="R94" s="52" t="s">
        <v>394</v>
      </c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67.5" customHeight="1" x14ac:dyDescent="0.2">
      <c r="A95" s="18">
        <v>86</v>
      </c>
      <c r="B95" s="129" t="s">
        <v>236</v>
      </c>
      <c r="C95" s="123"/>
      <c r="D95" s="124"/>
      <c r="E95" s="8" t="s">
        <v>458</v>
      </c>
      <c r="F95" s="8" t="s">
        <v>89</v>
      </c>
      <c r="G95" s="9" t="s">
        <v>125</v>
      </c>
      <c r="H95" s="10" t="s">
        <v>34</v>
      </c>
      <c r="I95" s="8" t="str">
        <f t="shared" si="1"/>
        <v>INSPECCIÓN DE INSTALACIONES GSI-FO-020 Ver. 00 de fecha 7/07/2025</v>
      </c>
      <c r="J95" s="49"/>
      <c r="K95" s="11" t="s">
        <v>58</v>
      </c>
      <c r="L95" s="8" t="s">
        <v>59</v>
      </c>
      <c r="M95" s="11" t="s">
        <v>65</v>
      </c>
      <c r="N95" s="11" t="s">
        <v>38</v>
      </c>
      <c r="O95" s="11" t="s">
        <v>91</v>
      </c>
      <c r="P95" s="8" t="s">
        <v>40</v>
      </c>
      <c r="Q95" s="8" t="s">
        <v>216</v>
      </c>
      <c r="R95" s="52" t="s">
        <v>394</v>
      </c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67.5" customHeight="1" x14ac:dyDescent="0.2">
      <c r="A96" s="18">
        <v>87</v>
      </c>
      <c r="B96" s="129" t="s">
        <v>237</v>
      </c>
      <c r="C96" s="123"/>
      <c r="D96" s="124"/>
      <c r="E96" s="8" t="s">
        <v>458</v>
      </c>
      <c r="F96" s="8" t="s">
        <v>89</v>
      </c>
      <c r="G96" s="9" t="s">
        <v>127</v>
      </c>
      <c r="H96" s="10" t="s">
        <v>34</v>
      </c>
      <c r="I96" s="8" t="str">
        <f t="shared" si="1"/>
        <v>INSPECCIÓN DE BOTIQUÍN DE PRIMEROS AUXILIOS GSI-FO-021 Ver. 00 de fecha 7/07/2025</v>
      </c>
      <c r="J96" s="49"/>
      <c r="K96" s="11" t="s">
        <v>58</v>
      </c>
      <c r="L96" s="8" t="s">
        <v>59</v>
      </c>
      <c r="M96" s="11" t="s">
        <v>65</v>
      </c>
      <c r="N96" s="11" t="s">
        <v>38</v>
      </c>
      <c r="O96" s="11" t="s">
        <v>91</v>
      </c>
      <c r="P96" s="8" t="s">
        <v>40</v>
      </c>
      <c r="Q96" s="8" t="s">
        <v>216</v>
      </c>
      <c r="R96" s="52" t="s">
        <v>394</v>
      </c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67.5" customHeight="1" x14ac:dyDescent="0.2">
      <c r="A97" s="18">
        <v>88</v>
      </c>
      <c r="B97" s="129" t="s">
        <v>238</v>
      </c>
      <c r="C97" s="123"/>
      <c r="D97" s="124"/>
      <c r="E97" s="8" t="s">
        <v>458</v>
      </c>
      <c r="F97" s="8" t="s">
        <v>89</v>
      </c>
      <c r="G97" s="9" t="s">
        <v>129</v>
      </c>
      <c r="H97" s="10" t="s">
        <v>34</v>
      </c>
      <c r="I97" s="8" t="str">
        <f t="shared" si="1"/>
        <v>INSPECCIÓN DE CAMILLAS GSI-FO-022 Ver. 00 de fecha 7/07/2025</v>
      </c>
      <c r="J97" s="49"/>
      <c r="K97" s="11" t="s">
        <v>58</v>
      </c>
      <c r="L97" s="8" t="s">
        <v>59</v>
      </c>
      <c r="M97" s="11" t="s">
        <v>65</v>
      </c>
      <c r="N97" s="11" t="s">
        <v>38</v>
      </c>
      <c r="O97" s="11" t="s">
        <v>91</v>
      </c>
      <c r="P97" s="8" t="s">
        <v>40</v>
      </c>
      <c r="Q97" s="8" t="s">
        <v>216</v>
      </c>
      <c r="R97" s="52" t="s">
        <v>394</v>
      </c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67.5" customHeight="1" x14ac:dyDescent="0.2">
      <c r="A98" s="18">
        <v>89</v>
      </c>
      <c r="B98" s="129" t="s">
        <v>239</v>
      </c>
      <c r="C98" s="123"/>
      <c r="D98" s="124"/>
      <c r="E98" s="8" t="s">
        <v>458</v>
      </c>
      <c r="F98" s="8" t="s">
        <v>89</v>
      </c>
      <c r="G98" s="9" t="s">
        <v>132</v>
      </c>
      <c r="H98" s="10" t="s">
        <v>34</v>
      </c>
      <c r="I98" s="8" t="str">
        <f t="shared" si="1"/>
        <v>INSPECCIÓN DE EXTINTORES GSI-FO-023 Ver. 00 de fecha 7/07/2025</v>
      </c>
      <c r="J98" s="49"/>
      <c r="K98" s="11" t="s">
        <v>58</v>
      </c>
      <c r="L98" s="8" t="s">
        <v>59</v>
      </c>
      <c r="M98" s="11" t="s">
        <v>65</v>
      </c>
      <c r="N98" s="11" t="s">
        <v>38</v>
      </c>
      <c r="O98" s="11" t="s">
        <v>91</v>
      </c>
      <c r="P98" s="8" t="s">
        <v>40</v>
      </c>
      <c r="Q98" s="8" t="s">
        <v>216</v>
      </c>
      <c r="R98" s="52" t="s">
        <v>394</v>
      </c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67.5" customHeight="1" x14ac:dyDescent="0.2">
      <c r="A99" s="18">
        <v>90</v>
      </c>
      <c r="B99" s="129" t="s">
        <v>240</v>
      </c>
      <c r="C99" s="123"/>
      <c r="D99" s="124"/>
      <c r="E99" s="8" t="s">
        <v>458</v>
      </c>
      <c r="F99" s="8" t="s">
        <v>89</v>
      </c>
      <c r="G99" s="9" t="s">
        <v>134</v>
      </c>
      <c r="H99" s="10" t="s">
        <v>34</v>
      </c>
      <c r="I99" s="8" t="str">
        <f t="shared" si="1"/>
        <v>INSPECCIÓN DE LUCES DE EMERGENCIA GSI-FO-024 Ver. 00 de fecha 7/07/2025</v>
      </c>
      <c r="J99" s="49"/>
      <c r="K99" s="11" t="s">
        <v>58</v>
      </c>
      <c r="L99" s="8" t="s">
        <v>59</v>
      </c>
      <c r="M99" s="11" t="s">
        <v>65</v>
      </c>
      <c r="N99" s="11" t="s">
        <v>38</v>
      </c>
      <c r="O99" s="11" t="s">
        <v>91</v>
      </c>
      <c r="P99" s="8" t="s">
        <v>40</v>
      </c>
      <c r="Q99" s="8" t="s">
        <v>216</v>
      </c>
      <c r="R99" s="52" t="s">
        <v>394</v>
      </c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67.5" customHeight="1" x14ac:dyDescent="0.2">
      <c r="A100" s="18">
        <v>91</v>
      </c>
      <c r="B100" s="129" t="s">
        <v>241</v>
      </c>
      <c r="C100" s="123"/>
      <c r="D100" s="124"/>
      <c r="E100" s="8" t="s">
        <v>458</v>
      </c>
      <c r="F100" s="8" t="s">
        <v>89</v>
      </c>
      <c r="G100" s="9" t="s">
        <v>136</v>
      </c>
      <c r="H100" s="10" t="s">
        <v>34</v>
      </c>
      <c r="I100" s="8" t="str">
        <f t="shared" si="1"/>
        <v>INSPECCIÓN DE ANDAMIO GSI-FO-025 Ver. 00 de fecha 7/07/2025</v>
      </c>
      <c r="J100" s="49"/>
      <c r="K100" s="11" t="s">
        <v>58</v>
      </c>
      <c r="L100" s="8" t="s">
        <v>59</v>
      </c>
      <c r="M100" s="11" t="s">
        <v>65</v>
      </c>
      <c r="N100" s="11" t="s">
        <v>38</v>
      </c>
      <c r="O100" s="11" t="s">
        <v>91</v>
      </c>
      <c r="P100" s="8" t="s">
        <v>40</v>
      </c>
      <c r="Q100" s="8" t="s">
        <v>216</v>
      </c>
      <c r="R100" s="52" t="s">
        <v>394</v>
      </c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67.5" customHeight="1" x14ac:dyDescent="0.2">
      <c r="A101" s="18">
        <v>92</v>
      </c>
      <c r="B101" s="129" t="s">
        <v>242</v>
      </c>
      <c r="C101" s="123"/>
      <c r="D101" s="124"/>
      <c r="E101" s="8" t="s">
        <v>458</v>
      </c>
      <c r="F101" s="8" t="s">
        <v>89</v>
      </c>
      <c r="G101" s="9" t="s">
        <v>138</v>
      </c>
      <c r="H101" s="10" t="s">
        <v>34</v>
      </c>
      <c r="I101" s="8" t="str">
        <f t="shared" si="1"/>
        <v>INSPECCIÓN DE ESCALERA GSI-FO-026 Ver. 00 de fecha 7/07/2025</v>
      </c>
      <c r="J101" s="49"/>
      <c r="K101" s="11" t="s">
        <v>58</v>
      </c>
      <c r="L101" s="8" t="s">
        <v>59</v>
      </c>
      <c r="M101" s="11" t="s">
        <v>65</v>
      </c>
      <c r="N101" s="11" t="s">
        <v>38</v>
      </c>
      <c r="O101" s="11" t="s">
        <v>91</v>
      </c>
      <c r="P101" s="8" t="s">
        <v>40</v>
      </c>
      <c r="Q101" s="8" t="s">
        <v>216</v>
      </c>
      <c r="R101" s="52" t="s">
        <v>394</v>
      </c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67.5" customHeight="1" x14ac:dyDescent="0.2">
      <c r="A102" s="18">
        <v>93</v>
      </c>
      <c r="B102" s="129" t="s">
        <v>243</v>
      </c>
      <c r="C102" s="123"/>
      <c r="D102" s="124"/>
      <c r="E102" s="8" t="s">
        <v>458</v>
      </c>
      <c r="F102" s="8" t="s">
        <v>89</v>
      </c>
      <c r="G102" s="9" t="s">
        <v>140</v>
      </c>
      <c r="H102" s="10" t="s">
        <v>34</v>
      </c>
      <c r="I102" s="8" t="str">
        <f t="shared" si="1"/>
        <v>INSPECCIÓN DE KIT ANTIDERRAME GSI-FO-027 Ver. 00 de fecha 7/07/2025</v>
      </c>
      <c r="J102" s="49"/>
      <c r="K102" s="11" t="s">
        <v>58</v>
      </c>
      <c r="L102" s="8" t="s">
        <v>59</v>
      </c>
      <c r="M102" s="11" t="s">
        <v>65</v>
      </c>
      <c r="N102" s="11" t="s">
        <v>38</v>
      </c>
      <c r="O102" s="11" t="s">
        <v>91</v>
      </c>
      <c r="P102" s="8" t="s">
        <v>40</v>
      </c>
      <c r="Q102" s="8" t="s">
        <v>216</v>
      </c>
      <c r="R102" s="52" t="s">
        <v>394</v>
      </c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67.5" customHeight="1" x14ac:dyDescent="0.2">
      <c r="A103" s="18">
        <v>94</v>
      </c>
      <c r="B103" s="129" t="s">
        <v>244</v>
      </c>
      <c r="C103" s="123"/>
      <c r="D103" s="124"/>
      <c r="E103" s="8" t="s">
        <v>458</v>
      </c>
      <c r="F103" s="8" t="s">
        <v>89</v>
      </c>
      <c r="G103" s="9" t="s">
        <v>143</v>
      </c>
      <c r="H103" s="10" t="s">
        <v>34</v>
      </c>
      <c r="I103" s="8" t="str">
        <f t="shared" si="1"/>
        <v>INSPECCIÓN DE HERRAMIENTAS ELÉCTRICAS GSI-FO-028 Ver. 00 de fecha 7/07/2025</v>
      </c>
      <c r="J103" s="49"/>
      <c r="K103" s="11" t="s">
        <v>58</v>
      </c>
      <c r="L103" s="8" t="s">
        <v>59</v>
      </c>
      <c r="M103" s="11" t="s">
        <v>65</v>
      </c>
      <c r="N103" s="11" t="s">
        <v>38</v>
      </c>
      <c r="O103" s="11" t="s">
        <v>91</v>
      </c>
      <c r="P103" s="8" t="s">
        <v>40</v>
      </c>
      <c r="Q103" s="8" t="s">
        <v>216</v>
      </c>
      <c r="R103" s="52" t="s">
        <v>394</v>
      </c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67.5" customHeight="1" x14ac:dyDescent="0.2">
      <c r="A104" s="18">
        <v>95</v>
      </c>
      <c r="B104" s="129" t="s">
        <v>245</v>
      </c>
      <c r="C104" s="123"/>
      <c r="D104" s="124"/>
      <c r="E104" s="8" t="s">
        <v>458</v>
      </c>
      <c r="F104" s="8" t="s">
        <v>89</v>
      </c>
      <c r="G104" s="9" t="s">
        <v>145</v>
      </c>
      <c r="H104" s="10" t="s">
        <v>34</v>
      </c>
      <c r="I104" s="8" t="str">
        <f t="shared" si="1"/>
        <v>INSPECCIÓN DE HERRAMIENTAS MANUALES GSI-FO-029 Ver. 00 de fecha 7/07/2025</v>
      </c>
      <c r="J104" s="49"/>
      <c r="K104" s="11" t="s">
        <v>58</v>
      </c>
      <c r="L104" s="8" t="s">
        <v>59</v>
      </c>
      <c r="M104" s="11" t="s">
        <v>65</v>
      </c>
      <c r="N104" s="11" t="s">
        <v>38</v>
      </c>
      <c r="O104" s="11" t="s">
        <v>91</v>
      </c>
      <c r="P104" s="8" t="s">
        <v>40</v>
      </c>
      <c r="Q104" s="8" t="s">
        <v>216</v>
      </c>
      <c r="R104" s="52" t="s">
        <v>394</v>
      </c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67.5" customHeight="1" x14ac:dyDescent="0.2">
      <c r="A105" s="18">
        <v>96</v>
      </c>
      <c r="B105" s="129" t="s">
        <v>246</v>
      </c>
      <c r="C105" s="123"/>
      <c r="D105" s="124"/>
      <c r="E105" s="8" t="s">
        <v>458</v>
      </c>
      <c r="F105" s="8" t="s">
        <v>89</v>
      </c>
      <c r="G105" s="9" t="s">
        <v>147</v>
      </c>
      <c r="H105" s="10" t="s">
        <v>34</v>
      </c>
      <c r="I105" s="8" t="str">
        <f t="shared" si="1"/>
        <v>CHECK LIST DE ARNES Y LINEA DE VIDA GSI-FO-030 Ver. 00 de fecha 7/07/2025</v>
      </c>
      <c r="J105" s="49"/>
      <c r="K105" s="11" t="s">
        <v>58</v>
      </c>
      <c r="L105" s="8" t="s">
        <v>59</v>
      </c>
      <c r="M105" s="11" t="s">
        <v>65</v>
      </c>
      <c r="N105" s="11" t="s">
        <v>38</v>
      </c>
      <c r="O105" s="11" t="s">
        <v>91</v>
      </c>
      <c r="P105" s="8" t="s">
        <v>40</v>
      </c>
      <c r="Q105" s="8" t="s">
        <v>216</v>
      </c>
      <c r="R105" s="52" t="s">
        <v>394</v>
      </c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67.5" customHeight="1" x14ac:dyDescent="0.2">
      <c r="A106" s="18">
        <v>97</v>
      </c>
      <c r="B106" s="129" t="s">
        <v>247</v>
      </c>
      <c r="C106" s="123"/>
      <c r="D106" s="124"/>
      <c r="E106" s="8" t="s">
        <v>458</v>
      </c>
      <c r="F106" s="8" t="s">
        <v>89</v>
      </c>
      <c r="G106" s="9" t="s">
        <v>149</v>
      </c>
      <c r="H106" s="10" t="s">
        <v>34</v>
      </c>
      <c r="I106" s="8" t="str">
        <f t="shared" si="1"/>
        <v>INSPECCIÓN DE EQUIPO DE PROTECCIÓN CONTRA CAÍDAS GSI-FO-031 Ver. 00 de fecha 7/07/2025</v>
      </c>
      <c r="J106" s="49"/>
      <c r="K106" s="11" t="s">
        <v>58</v>
      </c>
      <c r="L106" s="8" t="s">
        <v>59</v>
      </c>
      <c r="M106" s="11" t="s">
        <v>65</v>
      </c>
      <c r="N106" s="11" t="s">
        <v>38</v>
      </c>
      <c r="O106" s="11" t="s">
        <v>91</v>
      </c>
      <c r="P106" s="8" t="s">
        <v>40</v>
      </c>
      <c r="Q106" s="8" t="s">
        <v>216</v>
      </c>
      <c r="R106" s="52" t="s">
        <v>394</v>
      </c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67.5" customHeight="1" x14ac:dyDescent="0.2">
      <c r="A107" s="18">
        <v>98</v>
      </c>
      <c r="B107" s="129" t="s">
        <v>248</v>
      </c>
      <c r="C107" s="123"/>
      <c r="D107" s="124"/>
      <c r="E107" s="8" t="s">
        <v>458</v>
      </c>
      <c r="F107" s="8" t="s">
        <v>89</v>
      </c>
      <c r="G107" s="9" t="s">
        <v>151</v>
      </c>
      <c r="H107" s="10" t="s">
        <v>34</v>
      </c>
      <c r="I107" s="8" t="str">
        <f t="shared" si="1"/>
        <v>CHECK LIST DE DISPOSITIVOS Y APAREJOS GSI-FO-032 Ver. 00 de fecha 7/07/2025</v>
      </c>
      <c r="J107" s="49"/>
      <c r="K107" s="11" t="s">
        <v>58</v>
      </c>
      <c r="L107" s="8" t="s">
        <v>59</v>
      </c>
      <c r="M107" s="11" t="s">
        <v>65</v>
      </c>
      <c r="N107" s="11" t="s">
        <v>38</v>
      </c>
      <c r="O107" s="11" t="s">
        <v>91</v>
      </c>
      <c r="P107" s="8" t="s">
        <v>40</v>
      </c>
      <c r="Q107" s="8" t="s">
        <v>216</v>
      </c>
      <c r="R107" s="52" t="s">
        <v>394</v>
      </c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67.5" customHeight="1" x14ac:dyDescent="0.2">
      <c r="A108" s="18">
        <v>99</v>
      </c>
      <c r="B108" s="129" t="s">
        <v>249</v>
      </c>
      <c r="C108" s="123"/>
      <c r="D108" s="124"/>
      <c r="E108" s="8" t="s">
        <v>458</v>
      </c>
      <c r="F108" s="8" t="s">
        <v>89</v>
      </c>
      <c r="G108" s="9" t="s">
        <v>250</v>
      </c>
      <c r="H108" s="10" t="s">
        <v>34</v>
      </c>
      <c r="I108" s="8" t="str">
        <f t="shared" si="1"/>
        <v>CHECK LIST PRE USO DE CISTERNA GSI-FO-033 Ver. 00 de fecha 7/07/2025</v>
      </c>
      <c r="J108" s="49"/>
      <c r="K108" s="11" t="s">
        <v>58</v>
      </c>
      <c r="L108" s="8" t="s">
        <v>59</v>
      </c>
      <c r="M108" s="11" t="s">
        <v>65</v>
      </c>
      <c r="N108" s="11" t="s">
        <v>38</v>
      </c>
      <c r="O108" s="11" t="s">
        <v>91</v>
      </c>
      <c r="P108" s="8" t="s">
        <v>40</v>
      </c>
      <c r="Q108" s="8" t="s">
        <v>216</v>
      </c>
      <c r="R108" s="52" t="s">
        <v>394</v>
      </c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67.5" customHeight="1" x14ac:dyDescent="0.2">
      <c r="A109" s="18">
        <v>100</v>
      </c>
      <c r="B109" s="129" t="s">
        <v>251</v>
      </c>
      <c r="C109" s="123"/>
      <c r="D109" s="124"/>
      <c r="E109" s="8" t="s">
        <v>458</v>
      </c>
      <c r="F109" s="8" t="s">
        <v>89</v>
      </c>
      <c r="G109" s="9" t="s">
        <v>152</v>
      </c>
      <c r="H109" s="10" t="s">
        <v>34</v>
      </c>
      <c r="I109" s="8" t="str">
        <f t="shared" si="1"/>
        <v>CHECK LIST PRE USO DE VOLQUETE GSI-FO-034 Ver. 00 de fecha 7/07/2025</v>
      </c>
      <c r="J109" s="49"/>
      <c r="K109" s="11" t="s">
        <v>58</v>
      </c>
      <c r="L109" s="8" t="s">
        <v>59</v>
      </c>
      <c r="M109" s="11" t="s">
        <v>65</v>
      </c>
      <c r="N109" s="11" t="s">
        <v>38</v>
      </c>
      <c r="O109" s="11" t="s">
        <v>91</v>
      </c>
      <c r="P109" s="8" t="s">
        <v>40</v>
      </c>
      <c r="Q109" s="8" t="s">
        <v>216</v>
      </c>
      <c r="R109" s="52" t="s">
        <v>394</v>
      </c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67.5" customHeight="1" x14ac:dyDescent="0.2">
      <c r="A110" s="18">
        <v>101</v>
      </c>
      <c r="B110" s="129" t="s">
        <v>252</v>
      </c>
      <c r="C110" s="123"/>
      <c r="D110" s="124"/>
      <c r="E110" s="8" t="s">
        <v>458</v>
      </c>
      <c r="F110" s="8" t="s">
        <v>89</v>
      </c>
      <c r="G110" s="9" t="s">
        <v>253</v>
      </c>
      <c r="H110" s="10" t="s">
        <v>34</v>
      </c>
      <c r="I110" s="8" t="str">
        <f t="shared" si="1"/>
        <v>CHECK LIST PRE USO DE MIXER GSI-FO-035 Ver. 00 de fecha 7/07/2025</v>
      </c>
      <c r="J110" s="49"/>
      <c r="K110" s="11" t="s">
        <v>58</v>
      </c>
      <c r="L110" s="8" t="s">
        <v>59</v>
      </c>
      <c r="M110" s="11" t="s">
        <v>65</v>
      </c>
      <c r="N110" s="11" t="s">
        <v>38</v>
      </c>
      <c r="O110" s="11" t="s">
        <v>91</v>
      </c>
      <c r="P110" s="8" t="s">
        <v>40</v>
      </c>
      <c r="Q110" s="8" t="s">
        <v>216</v>
      </c>
      <c r="R110" s="52" t="s">
        <v>394</v>
      </c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67.5" customHeight="1" x14ac:dyDescent="0.2">
      <c r="A111" s="18">
        <v>102</v>
      </c>
      <c r="B111" s="129" t="s">
        <v>254</v>
      </c>
      <c r="C111" s="123"/>
      <c r="D111" s="124"/>
      <c r="E111" s="8" t="s">
        <v>458</v>
      </c>
      <c r="F111" s="8" t="s">
        <v>89</v>
      </c>
      <c r="G111" s="9" t="s">
        <v>154</v>
      </c>
      <c r="H111" s="10" t="s">
        <v>34</v>
      </c>
      <c r="I111" s="8" t="str">
        <f t="shared" si="1"/>
        <v>CHECK LIST PRE USO DE GRÚA GSI-FO-036 Ver. 00 de fecha 7/07/2025</v>
      </c>
      <c r="J111" s="49"/>
      <c r="K111" s="11" t="s">
        <v>58</v>
      </c>
      <c r="L111" s="8" t="s">
        <v>59</v>
      </c>
      <c r="M111" s="11" t="s">
        <v>65</v>
      </c>
      <c r="N111" s="11" t="s">
        <v>38</v>
      </c>
      <c r="O111" s="11" t="s">
        <v>91</v>
      </c>
      <c r="P111" s="8" t="s">
        <v>40</v>
      </c>
      <c r="Q111" s="8" t="s">
        <v>216</v>
      </c>
      <c r="R111" s="52" t="s">
        <v>394</v>
      </c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67.5" customHeight="1" x14ac:dyDescent="0.2">
      <c r="A112" s="18">
        <v>103</v>
      </c>
      <c r="B112" s="129" t="s">
        <v>255</v>
      </c>
      <c r="C112" s="123"/>
      <c r="D112" s="124"/>
      <c r="E112" s="8" t="s">
        <v>458</v>
      </c>
      <c r="F112" s="8" t="s">
        <v>89</v>
      </c>
      <c r="G112" s="9" t="s">
        <v>156</v>
      </c>
      <c r="H112" s="10" t="s">
        <v>34</v>
      </c>
      <c r="I112" s="8" t="str">
        <f t="shared" si="1"/>
        <v>CHECK LIST PRE USO DE RETROEXCAVADORA GSI-FO-037 Ver. 00 de fecha 7/07/2025</v>
      </c>
      <c r="J112" s="49"/>
      <c r="K112" s="11" t="s">
        <v>58</v>
      </c>
      <c r="L112" s="8" t="s">
        <v>59</v>
      </c>
      <c r="M112" s="11" t="s">
        <v>65</v>
      </c>
      <c r="N112" s="11" t="s">
        <v>38</v>
      </c>
      <c r="O112" s="11" t="s">
        <v>91</v>
      </c>
      <c r="P112" s="8" t="s">
        <v>40</v>
      </c>
      <c r="Q112" s="8" t="s">
        <v>216</v>
      </c>
      <c r="R112" s="52" t="s">
        <v>394</v>
      </c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67.5" customHeight="1" x14ac:dyDescent="0.2">
      <c r="A113" s="18">
        <v>104</v>
      </c>
      <c r="B113" s="129" t="s">
        <v>256</v>
      </c>
      <c r="C113" s="123"/>
      <c r="D113" s="124"/>
      <c r="E113" s="8" t="s">
        <v>458</v>
      </c>
      <c r="F113" s="8" t="s">
        <v>89</v>
      </c>
      <c r="G113" s="9" t="s">
        <v>158</v>
      </c>
      <c r="H113" s="10" t="s">
        <v>34</v>
      </c>
      <c r="I113" s="8" t="str">
        <f t="shared" si="1"/>
        <v>CHECK LIST PRE USO DE MINICARGADOR GSI-FO-038 Ver. 00 de fecha 7/07/2025</v>
      </c>
      <c r="J113" s="49"/>
      <c r="K113" s="11" t="s">
        <v>58</v>
      </c>
      <c r="L113" s="8" t="s">
        <v>59</v>
      </c>
      <c r="M113" s="11" t="s">
        <v>65</v>
      </c>
      <c r="N113" s="11" t="s">
        <v>38</v>
      </c>
      <c r="O113" s="11" t="s">
        <v>91</v>
      </c>
      <c r="P113" s="8" t="s">
        <v>40</v>
      </c>
      <c r="Q113" s="8" t="s">
        <v>216</v>
      </c>
      <c r="R113" s="52" t="s">
        <v>394</v>
      </c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67.5" customHeight="1" x14ac:dyDescent="0.2">
      <c r="A114" s="18">
        <v>105</v>
      </c>
      <c r="B114" s="129" t="s">
        <v>257</v>
      </c>
      <c r="C114" s="123"/>
      <c r="D114" s="124"/>
      <c r="E114" s="8" t="s">
        <v>458</v>
      </c>
      <c r="F114" s="8" t="s">
        <v>89</v>
      </c>
      <c r="G114" s="9" t="s">
        <v>160</v>
      </c>
      <c r="H114" s="10" t="s">
        <v>34</v>
      </c>
      <c r="I114" s="8" t="str">
        <f t="shared" si="1"/>
        <v>CHECK LIST PRE USO DE CARGADOR FRONTAL GSI-FO-039 Ver. 00 de fecha 7/07/2025</v>
      </c>
      <c r="J114" s="49"/>
      <c r="K114" s="11" t="s">
        <v>58</v>
      </c>
      <c r="L114" s="8" t="s">
        <v>59</v>
      </c>
      <c r="M114" s="11" t="s">
        <v>65</v>
      </c>
      <c r="N114" s="11" t="s">
        <v>38</v>
      </c>
      <c r="O114" s="11" t="s">
        <v>91</v>
      </c>
      <c r="P114" s="8" t="s">
        <v>40</v>
      </c>
      <c r="Q114" s="8" t="s">
        <v>216</v>
      </c>
      <c r="R114" s="52" t="s">
        <v>394</v>
      </c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67.5" customHeight="1" x14ac:dyDescent="0.2">
      <c r="A115" s="18">
        <v>106</v>
      </c>
      <c r="B115" s="129" t="s">
        <v>258</v>
      </c>
      <c r="C115" s="123"/>
      <c r="D115" s="124"/>
      <c r="E115" s="8" t="s">
        <v>458</v>
      </c>
      <c r="F115" s="8" t="s">
        <v>89</v>
      </c>
      <c r="G115" s="9" t="s">
        <v>162</v>
      </c>
      <c r="H115" s="10" t="s">
        <v>34</v>
      </c>
      <c r="I115" s="8" t="str">
        <f t="shared" si="1"/>
        <v>CHECK LIST PRE USO DE MOTONIVELADORA GSI-FO-040 Ver. 00 de fecha 7/07/2025</v>
      </c>
      <c r="J115" s="49"/>
      <c r="K115" s="11" t="s">
        <v>58</v>
      </c>
      <c r="L115" s="8" t="s">
        <v>59</v>
      </c>
      <c r="M115" s="11" t="s">
        <v>65</v>
      </c>
      <c r="N115" s="11" t="s">
        <v>38</v>
      </c>
      <c r="O115" s="11" t="s">
        <v>91</v>
      </c>
      <c r="P115" s="8" t="s">
        <v>40</v>
      </c>
      <c r="Q115" s="8" t="s">
        <v>216</v>
      </c>
      <c r="R115" s="52" t="s">
        <v>394</v>
      </c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67.5" customHeight="1" x14ac:dyDescent="0.2">
      <c r="A116" s="18">
        <v>107</v>
      </c>
      <c r="B116" s="129" t="s">
        <v>259</v>
      </c>
      <c r="C116" s="123"/>
      <c r="D116" s="124"/>
      <c r="E116" s="8" t="s">
        <v>458</v>
      </c>
      <c r="F116" s="8" t="s">
        <v>89</v>
      </c>
      <c r="G116" s="9" t="s">
        <v>164</v>
      </c>
      <c r="H116" s="10" t="s">
        <v>34</v>
      </c>
      <c r="I116" s="8" t="str">
        <f t="shared" si="1"/>
        <v>CHECK LIST DE PRE USO DE EXCAVADORA GSI-FO-041 Ver. 00 de fecha 7/07/2025</v>
      </c>
      <c r="J116" s="49"/>
      <c r="K116" s="11" t="s">
        <v>58</v>
      </c>
      <c r="L116" s="8" t="s">
        <v>59</v>
      </c>
      <c r="M116" s="11" t="s">
        <v>65</v>
      </c>
      <c r="N116" s="11" t="s">
        <v>38</v>
      </c>
      <c r="O116" s="11" t="s">
        <v>91</v>
      </c>
      <c r="P116" s="8" t="s">
        <v>40</v>
      </c>
      <c r="Q116" s="8" t="s">
        <v>216</v>
      </c>
      <c r="R116" s="52" t="s">
        <v>394</v>
      </c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67.5" customHeight="1" x14ac:dyDescent="0.2">
      <c r="A117" s="18">
        <v>108</v>
      </c>
      <c r="B117" s="129" t="s">
        <v>260</v>
      </c>
      <c r="C117" s="123"/>
      <c r="D117" s="124"/>
      <c r="E117" s="8" t="s">
        <v>458</v>
      </c>
      <c r="F117" s="8" t="s">
        <v>89</v>
      </c>
      <c r="G117" s="9" t="s">
        <v>166</v>
      </c>
      <c r="H117" s="10" t="s">
        <v>34</v>
      </c>
      <c r="I117" s="8" t="str">
        <f t="shared" si="1"/>
        <v>CHECK LIST DE PRE USO DE TRACTOR GSI-FO-042 Ver. 00 de fecha 7/07/2025</v>
      </c>
      <c r="J117" s="49"/>
      <c r="K117" s="11" t="s">
        <v>58</v>
      </c>
      <c r="L117" s="8" t="s">
        <v>59</v>
      </c>
      <c r="M117" s="11" t="s">
        <v>65</v>
      </c>
      <c r="N117" s="11" t="s">
        <v>38</v>
      </c>
      <c r="O117" s="11" t="s">
        <v>91</v>
      </c>
      <c r="P117" s="8" t="s">
        <v>40</v>
      </c>
      <c r="Q117" s="8" t="s">
        <v>216</v>
      </c>
      <c r="R117" s="52" t="s">
        <v>394</v>
      </c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67.5" customHeight="1" x14ac:dyDescent="0.2">
      <c r="A118" s="18">
        <v>109</v>
      </c>
      <c r="B118" s="170" t="s">
        <v>261</v>
      </c>
      <c r="C118" s="123"/>
      <c r="D118" s="124"/>
      <c r="E118" s="8" t="s">
        <v>458</v>
      </c>
      <c r="F118" s="18" t="s">
        <v>89</v>
      </c>
      <c r="G118" s="19" t="s">
        <v>168</v>
      </c>
      <c r="H118" s="10" t="s">
        <v>34</v>
      </c>
      <c r="I118" s="8" t="str">
        <f t="shared" si="1"/>
        <v>LISTADO DE EQUIPOS DE EMERGENCIA GSI-FO-043 Ver. 00 de fecha 7/07/2025</v>
      </c>
      <c r="J118" s="49"/>
      <c r="K118" s="11" t="s">
        <v>58</v>
      </c>
      <c r="L118" s="8" t="s">
        <v>59</v>
      </c>
      <c r="M118" s="11" t="s">
        <v>65</v>
      </c>
      <c r="N118" s="11" t="s">
        <v>38</v>
      </c>
      <c r="O118" s="11" t="s">
        <v>91</v>
      </c>
      <c r="P118" s="8" t="s">
        <v>40</v>
      </c>
      <c r="Q118" s="8" t="s">
        <v>41</v>
      </c>
      <c r="R118" s="52" t="s">
        <v>394</v>
      </c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67.5" customHeight="1" x14ac:dyDescent="0.2">
      <c r="A119" s="18">
        <v>110</v>
      </c>
      <c r="B119" s="129" t="s">
        <v>262</v>
      </c>
      <c r="C119" s="123"/>
      <c r="D119" s="124"/>
      <c r="E119" s="8" t="s">
        <v>458</v>
      </c>
      <c r="F119" s="8" t="s">
        <v>89</v>
      </c>
      <c r="G119" s="9" t="s">
        <v>170</v>
      </c>
      <c r="H119" s="10" t="s">
        <v>34</v>
      </c>
      <c r="I119" s="8" t="str">
        <f t="shared" si="1"/>
        <v>ANÁLISIS DE TRABAJO SEGURO GSI-FO-044 Ver. 00 de fecha 7/07/2025</v>
      </c>
      <c r="J119" s="49"/>
      <c r="K119" s="11" t="s">
        <v>58</v>
      </c>
      <c r="L119" s="8" t="s">
        <v>59</v>
      </c>
      <c r="M119" s="11" t="s">
        <v>65</v>
      </c>
      <c r="N119" s="11" t="s">
        <v>38</v>
      </c>
      <c r="O119" s="11" t="s">
        <v>91</v>
      </c>
      <c r="P119" s="8" t="s">
        <v>40</v>
      </c>
      <c r="Q119" s="8" t="s">
        <v>41</v>
      </c>
      <c r="R119" s="52" t="s">
        <v>394</v>
      </c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67.5" customHeight="1" x14ac:dyDescent="0.2">
      <c r="A120" s="18">
        <v>111</v>
      </c>
      <c r="B120" s="129" t="s">
        <v>263</v>
      </c>
      <c r="C120" s="123"/>
      <c r="D120" s="124"/>
      <c r="E120" s="8" t="s">
        <v>458</v>
      </c>
      <c r="F120" s="8" t="s">
        <v>89</v>
      </c>
      <c r="G120" s="9" t="s">
        <v>172</v>
      </c>
      <c r="H120" s="10" t="s">
        <v>34</v>
      </c>
      <c r="I120" s="8" t="str">
        <f t="shared" si="1"/>
        <v>REPORTE PRELIMINAR DE ACCIDENTES E INCIDENTES GSI-FO-045 Ver. 00 de fecha 7/07/2025</v>
      </c>
      <c r="J120" s="49"/>
      <c r="K120" s="11" t="s">
        <v>58</v>
      </c>
      <c r="L120" s="8" t="s">
        <v>59</v>
      </c>
      <c r="M120" s="11" t="s">
        <v>65</v>
      </c>
      <c r="N120" s="11" t="s">
        <v>38</v>
      </c>
      <c r="O120" s="11" t="s">
        <v>91</v>
      </c>
      <c r="P120" s="8" t="s">
        <v>40</v>
      </c>
      <c r="Q120" s="8" t="s">
        <v>41</v>
      </c>
      <c r="R120" s="52" t="s">
        <v>394</v>
      </c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67.5" customHeight="1" x14ac:dyDescent="0.2">
      <c r="A121" s="18">
        <v>112</v>
      </c>
      <c r="B121" s="129" t="s">
        <v>264</v>
      </c>
      <c r="C121" s="123"/>
      <c r="D121" s="124"/>
      <c r="E121" s="8" t="s">
        <v>458</v>
      </c>
      <c r="F121" s="8" t="s">
        <v>89</v>
      </c>
      <c r="G121" s="9" t="s">
        <v>174</v>
      </c>
      <c r="H121" s="10" t="s">
        <v>34</v>
      </c>
      <c r="I121" s="8" t="str">
        <f t="shared" si="1"/>
        <v>INVESTIGACIÓN DE INCIDENTES PELIGROSOS E INCIDENTES GSI-FO-046 Ver. 00 de fecha 7/07/2025</v>
      </c>
      <c r="J121" s="49"/>
      <c r="K121" s="11" t="s">
        <v>58</v>
      </c>
      <c r="L121" s="8" t="s">
        <v>59</v>
      </c>
      <c r="M121" s="11" t="s">
        <v>65</v>
      </c>
      <c r="N121" s="11" t="s">
        <v>38</v>
      </c>
      <c r="O121" s="11" t="s">
        <v>91</v>
      </c>
      <c r="P121" s="8" t="s">
        <v>40</v>
      </c>
      <c r="Q121" s="8" t="s">
        <v>216</v>
      </c>
      <c r="R121" s="52" t="s">
        <v>394</v>
      </c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67.5" customHeight="1" x14ac:dyDescent="0.2">
      <c r="A122" s="18">
        <v>113</v>
      </c>
      <c r="B122" s="129" t="s">
        <v>265</v>
      </c>
      <c r="C122" s="123"/>
      <c r="D122" s="124"/>
      <c r="E122" s="8" t="s">
        <v>458</v>
      </c>
      <c r="F122" s="8" t="s">
        <v>89</v>
      </c>
      <c r="G122" s="9" t="s">
        <v>175</v>
      </c>
      <c r="H122" s="10" t="s">
        <v>34</v>
      </c>
      <c r="I122" s="8" t="str">
        <f t="shared" si="1"/>
        <v>INVESTIGACIÓN DE ACCIDENTES DE TRABAJO GSI-FO-047 Ver. 00 de fecha 7/07/2025</v>
      </c>
      <c r="J122" s="49"/>
      <c r="K122" s="11" t="s">
        <v>58</v>
      </c>
      <c r="L122" s="8" t="s">
        <v>59</v>
      </c>
      <c r="M122" s="11" t="s">
        <v>65</v>
      </c>
      <c r="N122" s="11" t="s">
        <v>38</v>
      </c>
      <c r="O122" s="11" t="s">
        <v>91</v>
      </c>
      <c r="P122" s="8" t="s">
        <v>40</v>
      </c>
      <c r="Q122" s="8" t="s">
        <v>266</v>
      </c>
      <c r="R122" s="52" t="s">
        <v>394</v>
      </c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67.5" customHeight="1" x14ac:dyDescent="0.2">
      <c r="A123" s="18">
        <v>114</v>
      </c>
      <c r="B123" s="129" t="s">
        <v>267</v>
      </c>
      <c r="C123" s="123"/>
      <c r="D123" s="124"/>
      <c r="E123" s="8" t="s">
        <v>458</v>
      </c>
      <c r="F123" s="8" t="s">
        <v>89</v>
      </c>
      <c r="G123" s="9" t="s">
        <v>176</v>
      </c>
      <c r="H123" s="10" t="s">
        <v>34</v>
      </c>
      <c r="I123" s="8" t="str">
        <f t="shared" si="1"/>
        <v>REGISTRO DE ENFERMEDADES OCUPACIONALES GSI-FO-048 Ver. 00 de fecha 7/07/2025</v>
      </c>
      <c r="J123" s="49"/>
      <c r="K123" s="11" t="s">
        <v>58</v>
      </c>
      <c r="L123" s="8" t="s">
        <v>59</v>
      </c>
      <c r="M123" s="11" t="s">
        <v>65</v>
      </c>
      <c r="N123" s="11" t="s">
        <v>38</v>
      </c>
      <c r="O123" s="11" t="s">
        <v>91</v>
      </c>
      <c r="P123" s="8" t="s">
        <v>40</v>
      </c>
      <c r="Q123" s="8" t="s">
        <v>268</v>
      </c>
      <c r="R123" s="52" t="s">
        <v>394</v>
      </c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67.5" customHeight="1" x14ac:dyDescent="0.2">
      <c r="A124" s="18">
        <v>115</v>
      </c>
      <c r="B124" s="129" t="s">
        <v>269</v>
      </c>
      <c r="C124" s="123"/>
      <c r="D124" s="124"/>
      <c r="E124" s="8" t="s">
        <v>458</v>
      </c>
      <c r="F124" s="8" t="s">
        <v>89</v>
      </c>
      <c r="G124" s="9" t="s">
        <v>178</v>
      </c>
      <c r="H124" s="10" t="s">
        <v>34</v>
      </c>
      <c r="I124" s="8" t="str">
        <f t="shared" si="1"/>
        <v>CONSENTIMIENTO DE EXAMEN MÉDICO OCUPACIONAL GSI-FO-049 Ver. 00 de fecha 7/07/2025</v>
      </c>
      <c r="J124" s="49"/>
      <c r="K124" s="11" t="s">
        <v>58</v>
      </c>
      <c r="L124" s="8" t="s">
        <v>59</v>
      </c>
      <c r="M124" s="11" t="s">
        <v>65</v>
      </c>
      <c r="N124" s="11" t="s">
        <v>38</v>
      </c>
      <c r="O124" s="11" t="s">
        <v>91</v>
      </c>
      <c r="P124" s="8" t="s">
        <v>40</v>
      </c>
      <c r="Q124" s="8" t="s">
        <v>216</v>
      </c>
      <c r="R124" s="52" t="s">
        <v>394</v>
      </c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67.5" customHeight="1" x14ac:dyDescent="0.2">
      <c r="A125" s="18">
        <v>116</v>
      </c>
      <c r="B125" s="129" t="s">
        <v>270</v>
      </c>
      <c r="C125" s="123"/>
      <c r="D125" s="124"/>
      <c r="E125" s="8" t="s">
        <v>458</v>
      </c>
      <c r="F125" s="8" t="s">
        <v>89</v>
      </c>
      <c r="G125" s="9" t="s">
        <v>180</v>
      </c>
      <c r="H125" s="10" t="s">
        <v>34</v>
      </c>
      <c r="I125" s="8" t="str">
        <f t="shared" si="1"/>
        <v>CONSENTIMIENTO PARA COMPARTIR EXAMEN MÉDICO OCUPACIONAL GSI-FO-050 Ver. 00 de fecha 7/07/2025</v>
      </c>
      <c r="J125" s="49"/>
      <c r="K125" s="11" t="s">
        <v>58</v>
      </c>
      <c r="L125" s="8" t="s">
        <v>59</v>
      </c>
      <c r="M125" s="11" t="s">
        <v>65</v>
      </c>
      <c r="N125" s="11" t="s">
        <v>38</v>
      </c>
      <c r="O125" s="11" t="s">
        <v>91</v>
      </c>
      <c r="P125" s="8" t="s">
        <v>40</v>
      </c>
      <c r="Q125" s="8" t="s">
        <v>216</v>
      </c>
      <c r="R125" s="52" t="s">
        <v>394</v>
      </c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67.5" customHeight="1" x14ac:dyDescent="0.2">
      <c r="A126" s="18">
        <v>117</v>
      </c>
      <c r="B126" s="129" t="s">
        <v>271</v>
      </c>
      <c r="C126" s="123"/>
      <c r="D126" s="124"/>
      <c r="E126" s="8" t="s">
        <v>458</v>
      </c>
      <c r="F126" s="8" t="s">
        <v>89</v>
      </c>
      <c r="G126" s="9" t="s">
        <v>182</v>
      </c>
      <c r="H126" s="10" t="s">
        <v>34</v>
      </c>
      <c r="I126" s="8" t="str">
        <f t="shared" si="1"/>
        <v>RESULTADO DE EXAMEN MÉDICO OCUPACIONAL E INDICACIONES GSI-FO-051 Ver. 00 de fecha 7/07/2025</v>
      </c>
      <c r="J126" s="49"/>
      <c r="K126" s="11" t="s">
        <v>58</v>
      </c>
      <c r="L126" s="8" t="s">
        <v>59</v>
      </c>
      <c r="M126" s="11" t="s">
        <v>65</v>
      </c>
      <c r="N126" s="11" t="s">
        <v>38</v>
      </c>
      <c r="O126" s="11" t="s">
        <v>91</v>
      </c>
      <c r="P126" s="8" t="s">
        <v>40</v>
      </c>
      <c r="Q126" s="8" t="s">
        <v>216</v>
      </c>
      <c r="R126" s="52" t="s">
        <v>394</v>
      </c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67.5" customHeight="1" x14ac:dyDescent="0.2">
      <c r="A127" s="18">
        <v>118</v>
      </c>
      <c r="B127" s="129" t="s">
        <v>272</v>
      </c>
      <c r="C127" s="123"/>
      <c r="D127" s="124"/>
      <c r="E127" s="8" t="s">
        <v>458</v>
      </c>
      <c r="F127" s="8" t="s">
        <v>89</v>
      </c>
      <c r="G127" s="9" t="s">
        <v>184</v>
      </c>
      <c r="H127" s="10" t="s">
        <v>34</v>
      </c>
      <c r="I127" s="8" t="str">
        <f t="shared" si="1"/>
        <v>EVALUACIÓN DE RIESGOS EN TRABAJADORA GESTANTE GSI-FO-052 Ver. 00 de fecha 7/07/2025</v>
      </c>
      <c r="J127" s="49"/>
      <c r="K127" s="11" t="s">
        <v>58</v>
      </c>
      <c r="L127" s="8" t="s">
        <v>59</v>
      </c>
      <c r="M127" s="11" t="s">
        <v>65</v>
      </c>
      <c r="N127" s="11" t="s">
        <v>38</v>
      </c>
      <c r="O127" s="11" t="s">
        <v>91</v>
      </c>
      <c r="P127" s="8" t="s">
        <v>40</v>
      </c>
      <c r="Q127" s="8" t="s">
        <v>216</v>
      </c>
      <c r="R127" s="52" t="s">
        <v>394</v>
      </c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67.5" customHeight="1" x14ac:dyDescent="0.2">
      <c r="A128" s="18">
        <v>119</v>
      </c>
      <c r="B128" s="129" t="s">
        <v>273</v>
      </c>
      <c r="C128" s="123"/>
      <c r="D128" s="124"/>
      <c r="E128" s="8" t="s">
        <v>458</v>
      </c>
      <c r="F128" s="8" t="s">
        <v>89</v>
      </c>
      <c r="G128" s="9" t="s">
        <v>186</v>
      </c>
      <c r="H128" s="10" t="s">
        <v>34</v>
      </c>
      <c r="I128" s="8" t="str">
        <f t="shared" si="1"/>
        <v xml:space="preserve"> MONITOREOS OCUPACIONALES GSI-FO-053 Ver. 00 de fecha 7/07/2025</v>
      </c>
      <c r="J128" s="49"/>
      <c r="K128" s="11" t="s">
        <v>58</v>
      </c>
      <c r="L128" s="8" t="s">
        <v>59</v>
      </c>
      <c r="M128" s="11" t="s">
        <v>65</v>
      </c>
      <c r="N128" s="11" t="s">
        <v>38</v>
      </c>
      <c r="O128" s="11" t="s">
        <v>91</v>
      </c>
      <c r="P128" s="8" t="s">
        <v>40</v>
      </c>
      <c r="Q128" s="8" t="s">
        <v>216</v>
      </c>
      <c r="R128" s="52" t="s">
        <v>394</v>
      </c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67.5" customHeight="1" x14ac:dyDescent="0.2">
      <c r="A129" s="18">
        <v>120</v>
      </c>
      <c r="B129" s="129" t="s">
        <v>274</v>
      </c>
      <c r="C129" s="123"/>
      <c r="D129" s="124"/>
      <c r="E129" s="8" t="s">
        <v>458</v>
      </c>
      <c r="F129" s="8" t="s">
        <v>89</v>
      </c>
      <c r="G129" s="9" t="s">
        <v>188</v>
      </c>
      <c r="H129" s="10" t="s">
        <v>34</v>
      </c>
      <c r="I129" s="8" t="str">
        <f t="shared" si="1"/>
        <v>PROGRAMA ANUAL DE EXÁMENES MÉDICOS PREOCUPACIONALES GSI-FO-054 Ver. 00 de fecha 7/07/2025</v>
      </c>
      <c r="J129" s="49"/>
      <c r="K129" s="11" t="s">
        <v>58</v>
      </c>
      <c r="L129" s="8" t="s">
        <v>59</v>
      </c>
      <c r="M129" s="11" t="s">
        <v>65</v>
      </c>
      <c r="N129" s="11" t="s">
        <v>38</v>
      </c>
      <c r="O129" s="11" t="s">
        <v>91</v>
      </c>
      <c r="P129" s="8" t="s">
        <v>40</v>
      </c>
      <c r="Q129" s="8" t="s">
        <v>216</v>
      </c>
      <c r="R129" s="52" t="s">
        <v>394</v>
      </c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67.5" customHeight="1" x14ac:dyDescent="0.2">
      <c r="A130" s="18">
        <v>121</v>
      </c>
      <c r="B130" s="129" t="s">
        <v>275</v>
      </c>
      <c r="C130" s="123"/>
      <c r="D130" s="124"/>
      <c r="E130" s="8" t="s">
        <v>458</v>
      </c>
      <c r="F130" s="8" t="s">
        <v>89</v>
      </c>
      <c r="G130" s="9" t="s">
        <v>190</v>
      </c>
      <c r="H130" s="10" t="s">
        <v>34</v>
      </c>
      <c r="I130" s="8" t="str">
        <f t="shared" si="1"/>
        <v>PROGRAMA ANUAL DE VIGILANCIA MÉDICA GSI-FO-055 Ver. 00 de fecha 7/07/2025</v>
      </c>
      <c r="J130" s="49"/>
      <c r="K130" s="11" t="s">
        <v>58</v>
      </c>
      <c r="L130" s="8" t="s">
        <v>59</v>
      </c>
      <c r="M130" s="11" t="s">
        <v>65</v>
      </c>
      <c r="N130" s="11" t="s">
        <v>38</v>
      </c>
      <c r="O130" s="11" t="s">
        <v>91</v>
      </c>
      <c r="P130" s="8" t="s">
        <v>40</v>
      </c>
      <c r="Q130" s="8" t="s">
        <v>216</v>
      </c>
      <c r="R130" s="52" t="s">
        <v>394</v>
      </c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67.5" customHeight="1" x14ac:dyDescent="0.2">
      <c r="A131" s="18">
        <v>122</v>
      </c>
      <c r="B131" s="129" t="s">
        <v>276</v>
      </c>
      <c r="C131" s="123"/>
      <c r="D131" s="124"/>
      <c r="E131" s="8" t="s">
        <v>458</v>
      </c>
      <c r="F131" s="8" t="s">
        <v>89</v>
      </c>
      <c r="G131" s="9" t="s">
        <v>192</v>
      </c>
      <c r="H131" s="10" t="s">
        <v>34</v>
      </c>
      <c r="I131" s="8" t="str">
        <f t="shared" si="1"/>
        <v>LISTA DE VERIFICACIÓN DE BIOSEGURIDAD EN EL TRABAJO GSI-FO-056 Ver. 00 de fecha 7/07/2025</v>
      </c>
      <c r="J131" s="49"/>
      <c r="K131" s="11" t="s">
        <v>58</v>
      </c>
      <c r="L131" s="8" t="s">
        <v>59</v>
      </c>
      <c r="M131" s="11" t="s">
        <v>65</v>
      </c>
      <c r="N131" s="11" t="s">
        <v>38</v>
      </c>
      <c r="O131" s="11" t="s">
        <v>91</v>
      </c>
      <c r="P131" s="8" t="s">
        <v>40</v>
      </c>
      <c r="Q131" s="8" t="s">
        <v>216</v>
      </c>
      <c r="R131" s="52" t="s">
        <v>394</v>
      </c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67.5" customHeight="1" x14ac:dyDescent="0.2">
      <c r="A132" s="18">
        <v>123</v>
      </c>
      <c r="B132" s="129" t="s">
        <v>277</v>
      </c>
      <c r="C132" s="123"/>
      <c r="D132" s="124"/>
      <c r="E132" s="8" t="s">
        <v>458</v>
      </c>
      <c r="F132" s="8" t="s">
        <v>89</v>
      </c>
      <c r="G132" s="9" t="s">
        <v>194</v>
      </c>
      <c r="H132" s="10" t="s">
        <v>34</v>
      </c>
      <c r="I132" s="8" t="str">
        <f t="shared" si="1"/>
        <v>REGISTRO DIARIO DE SINTOMATOLOGÍA GSI-FO-057 Ver. 00 de fecha 7/07/2025</v>
      </c>
      <c r="J132" s="49"/>
      <c r="K132" s="11" t="s">
        <v>58</v>
      </c>
      <c r="L132" s="8" t="s">
        <v>59</v>
      </c>
      <c r="M132" s="11" t="s">
        <v>65</v>
      </c>
      <c r="N132" s="11" t="s">
        <v>38</v>
      </c>
      <c r="O132" s="11" t="s">
        <v>91</v>
      </c>
      <c r="P132" s="8" t="s">
        <v>40</v>
      </c>
      <c r="Q132" s="8" t="s">
        <v>216</v>
      </c>
      <c r="R132" s="52" t="s">
        <v>394</v>
      </c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67.5" customHeight="1" x14ac:dyDescent="0.2">
      <c r="A133" s="18">
        <v>124</v>
      </c>
      <c r="B133" s="129" t="s">
        <v>278</v>
      </c>
      <c r="C133" s="123"/>
      <c r="D133" s="124"/>
      <c r="E133" s="8" t="s">
        <v>458</v>
      </c>
      <c r="F133" s="8" t="s">
        <v>89</v>
      </c>
      <c r="G133" s="9" t="s">
        <v>196</v>
      </c>
      <c r="H133" s="10" t="s">
        <v>34</v>
      </c>
      <c r="I133" s="8" t="str">
        <f t="shared" si="1"/>
        <v>REGISTRO DE TRABAJADORES SOSPECHOSOS GSI-FO-058 Ver. 00 de fecha 7/07/2025</v>
      </c>
      <c r="J133" s="49"/>
      <c r="K133" s="11" t="s">
        <v>58</v>
      </c>
      <c r="L133" s="8" t="s">
        <v>59</v>
      </c>
      <c r="M133" s="11" t="s">
        <v>65</v>
      </c>
      <c r="N133" s="11" t="s">
        <v>38</v>
      </c>
      <c r="O133" s="11" t="s">
        <v>91</v>
      </c>
      <c r="P133" s="8" t="s">
        <v>40</v>
      </c>
      <c r="Q133" s="8" t="s">
        <v>216</v>
      </c>
      <c r="R133" s="52" t="s">
        <v>394</v>
      </c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67.5" customHeight="1" x14ac:dyDescent="0.2">
      <c r="A134" s="18">
        <v>125</v>
      </c>
      <c r="B134" s="129" t="s">
        <v>279</v>
      </c>
      <c r="C134" s="123"/>
      <c r="D134" s="124"/>
      <c r="E134" s="8" t="s">
        <v>458</v>
      </c>
      <c r="F134" s="8" t="s">
        <v>89</v>
      </c>
      <c r="G134" s="9" t="s">
        <v>198</v>
      </c>
      <c r="H134" s="10" t="s">
        <v>34</v>
      </c>
      <c r="I134" s="8" t="str">
        <f t="shared" si="1"/>
        <v>DECLARACION JURADA FICHA DE SINTOMATOLOGÍA PARA REGRESO AL TRABAJO  GSI-FO-059 Ver. 00 de fecha 7/07/2025</v>
      </c>
      <c r="J134" s="49"/>
      <c r="K134" s="11" t="s">
        <v>58</v>
      </c>
      <c r="L134" s="8" t="s">
        <v>59</v>
      </c>
      <c r="M134" s="11" t="s">
        <v>65</v>
      </c>
      <c r="N134" s="11" t="s">
        <v>38</v>
      </c>
      <c r="O134" s="11" t="s">
        <v>91</v>
      </c>
      <c r="P134" s="8" t="s">
        <v>40</v>
      </c>
      <c r="Q134" s="8" t="s">
        <v>216</v>
      </c>
      <c r="R134" s="52" t="s">
        <v>394</v>
      </c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67.5" customHeight="1" x14ac:dyDescent="0.2">
      <c r="A135" s="18">
        <v>126</v>
      </c>
      <c r="B135" s="129" t="s">
        <v>280</v>
      </c>
      <c r="C135" s="123"/>
      <c r="D135" s="124"/>
      <c r="E135" s="8" t="s">
        <v>458</v>
      </c>
      <c r="F135" s="8" t="s">
        <v>89</v>
      </c>
      <c r="G135" s="9" t="s">
        <v>200</v>
      </c>
      <c r="H135" s="10" t="s">
        <v>34</v>
      </c>
      <c r="I135" s="8" t="str">
        <f t="shared" si="1"/>
        <v>MAPA DE RISGOS GSI-FO-060 Ver. 00 de fecha 7/07/2025</v>
      </c>
      <c r="J135" s="49"/>
      <c r="K135" s="11" t="s">
        <v>58</v>
      </c>
      <c r="L135" s="8" t="s">
        <v>59</v>
      </c>
      <c r="M135" s="11" t="s">
        <v>65</v>
      </c>
      <c r="N135" s="11" t="s">
        <v>38</v>
      </c>
      <c r="O135" s="11" t="s">
        <v>91</v>
      </c>
      <c r="P135" s="8" t="s">
        <v>40</v>
      </c>
      <c r="Q135" s="8" t="s">
        <v>216</v>
      </c>
      <c r="R135" s="52" t="s">
        <v>394</v>
      </c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67.5" customHeight="1" x14ac:dyDescent="0.2">
      <c r="A136" s="18">
        <v>127</v>
      </c>
      <c r="B136" s="129" t="s">
        <v>281</v>
      </c>
      <c r="C136" s="123"/>
      <c r="D136" s="124"/>
      <c r="E136" s="8" t="s">
        <v>458</v>
      </c>
      <c r="F136" s="8" t="s">
        <v>89</v>
      </c>
      <c r="G136" s="9" t="s">
        <v>202</v>
      </c>
      <c r="H136" s="10" t="s">
        <v>34</v>
      </c>
      <c r="I136" s="8" t="str">
        <f t="shared" si="1"/>
        <v>CRONOGRAMA DE CHARLAS DIARIAS GSI-FO-061 Ver. 00 de fecha 7/07/2025</v>
      </c>
      <c r="J136" s="49"/>
      <c r="K136" s="11" t="s">
        <v>58</v>
      </c>
      <c r="L136" s="8" t="s">
        <v>59</v>
      </c>
      <c r="M136" s="11" t="s">
        <v>65</v>
      </c>
      <c r="N136" s="11" t="s">
        <v>38</v>
      </c>
      <c r="O136" s="11" t="s">
        <v>91</v>
      </c>
      <c r="P136" s="8" t="s">
        <v>40</v>
      </c>
      <c r="Q136" s="8" t="s">
        <v>216</v>
      </c>
      <c r="R136" s="52" t="s">
        <v>394</v>
      </c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67.5" customHeight="1" x14ac:dyDescent="0.2">
      <c r="A137" s="18">
        <v>128</v>
      </c>
      <c r="B137" s="173" t="s">
        <v>282</v>
      </c>
      <c r="C137" s="123"/>
      <c r="D137" s="124"/>
      <c r="E137" s="8" t="s">
        <v>458</v>
      </c>
      <c r="F137" s="8" t="s">
        <v>89</v>
      </c>
      <c r="G137" s="9" t="s">
        <v>204</v>
      </c>
      <c r="H137" s="10" t="s">
        <v>34</v>
      </c>
      <c r="I137" s="8" t="str">
        <f t="shared" si="1"/>
        <v>CHECK LIST DE PRE USO DE VEHICULO GSI-FO-062 Ver. 00 de fecha 7/07/2025</v>
      </c>
      <c r="J137" s="49"/>
      <c r="K137" s="11" t="s">
        <v>58</v>
      </c>
      <c r="L137" s="8" t="s">
        <v>59</v>
      </c>
      <c r="M137" s="11" t="s">
        <v>65</v>
      </c>
      <c r="N137" s="11" t="s">
        <v>38</v>
      </c>
      <c r="O137" s="11" t="s">
        <v>91</v>
      </c>
      <c r="P137" s="8" t="s">
        <v>40</v>
      </c>
      <c r="Q137" s="8" t="s">
        <v>216</v>
      </c>
      <c r="R137" s="52" t="s">
        <v>394</v>
      </c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67.5" customHeight="1" x14ac:dyDescent="0.2">
      <c r="A138" s="18">
        <v>131</v>
      </c>
      <c r="B138" s="170" t="s">
        <v>283</v>
      </c>
      <c r="C138" s="123"/>
      <c r="D138" s="124"/>
      <c r="E138" s="8" t="s">
        <v>458</v>
      </c>
      <c r="F138" s="18" t="s">
        <v>89</v>
      </c>
      <c r="G138" s="19" t="s">
        <v>45</v>
      </c>
      <c r="H138" s="10" t="s">
        <v>34</v>
      </c>
      <c r="I138" s="8" t="str">
        <f t="shared" si="1"/>
        <v>INSPECCIÓN DE PRODUCTOS COMPRADOS GSI-FO-003 Ver. 00 de fecha 7/07/2025</v>
      </c>
      <c r="J138" s="49"/>
      <c r="K138" s="11" t="s">
        <v>31</v>
      </c>
      <c r="L138" s="8" t="s">
        <v>36</v>
      </c>
      <c r="M138" s="11" t="s">
        <v>104</v>
      </c>
      <c r="N138" s="11" t="s">
        <v>38</v>
      </c>
      <c r="O138" s="11" t="s">
        <v>91</v>
      </c>
      <c r="P138" s="8" t="s">
        <v>40</v>
      </c>
      <c r="Q138" s="8" t="s">
        <v>41</v>
      </c>
      <c r="R138" s="52" t="s">
        <v>394</v>
      </c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67.5" customHeight="1" x14ac:dyDescent="0.2">
      <c r="A139" s="18">
        <v>132</v>
      </c>
      <c r="B139" s="170" t="s">
        <v>284</v>
      </c>
      <c r="C139" s="123"/>
      <c r="D139" s="124"/>
      <c r="E139" s="8" t="s">
        <v>458</v>
      </c>
      <c r="F139" s="18" t="s">
        <v>89</v>
      </c>
      <c r="G139" s="19" t="s">
        <v>47</v>
      </c>
      <c r="H139" s="10" t="s">
        <v>34</v>
      </c>
      <c r="I139" s="8" t="str">
        <f t="shared" si="1"/>
        <v>FICHA DE SELECCIÓN DE PERSONAL GSI-FO-004 Ver. 00 de fecha 7/07/2025</v>
      </c>
      <c r="J139" s="49"/>
      <c r="K139" s="11" t="s">
        <v>31</v>
      </c>
      <c r="L139" s="8" t="s">
        <v>36</v>
      </c>
      <c r="M139" s="11" t="s">
        <v>104</v>
      </c>
      <c r="N139" s="11" t="s">
        <v>38</v>
      </c>
      <c r="O139" s="11" t="s">
        <v>91</v>
      </c>
      <c r="P139" s="8" t="s">
        <v>40</v>
      </c>
      <c r="Q139" s="8" t="s">
        <v>41</v>
      </c>
      <c r="R139" s="52" t="s">
        <v>394</v>
      </c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67.5" customHeight="1" x14ac:dyDescent="0.2">
      <c r="A140" s="18">
        <v>133</v>
      </c>
      <c r="B140" s="170" t="s">
        <v>285</v>
      </c>
      <c r="C140" s="123"/>
      <c r="D140" s="124"/>
      <c r="E140" s="8" t="s">
        <v>458</v>
      </c>
      <c r="F140" s="18" t="s">
        <v>89</v>
      </c>
      <c r="G140" s="19" t="s">
        <v>49</v>
      </c>
      <c r="H140" s="10" t="s">
        <v>34</v>
      </c>
      <c r="I140" s="8" t="str">
        <f t="shared" si="1"/>
        <v>EVALUACIÓN DE DESEMPEÑO GSI-FO-005 Ver. 00 de fecha 7/07/2025</v>
      </c>
      <c r="J140" s="49"/>
      <c r="K140" s="11" t="s">
        <v>31</v>
      </c>
      <c r="L140" s="8" t="s">
        <v>36</v>
      </c>
      <c r="M140" s="11" t="s">
        <v>104</v>
      </c>
      <c r="N140" s="11" t="s">
        <v>38</v>
      </c>
      <c r="O140" s="11" t="s">
        <v>91</v>
      </c>
      <c r="P140" s="8" t="s">
        <v>40</v>
      </c>
      <c r="Q140" s="8" t="s">
        <v>41</v>
      </c>
      <c r="R140" s="52" t="s">
        <v>394</v>
      </c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67.5" customHeight="1" x14ac:dyDescent="0.2">
      <c r="A141" s="18">
        <v>134</v>
      </c>
      <c r="B141" s="170" t="s">
        <v>286</v>
      </c>
      <c r="C141" s="123"/>
      <c r="D141" s="124"/>
      <c r="E141" s="8" t="s">
        <v>458</v>
      </c>
      <c r="F141" s="18" t="s">
        <v>89</v>
      </c>
      <c r="G141" s="19" t="s">
        <v>51</v>
      </c>
      <c r="H141" s="10" t="s">
        <v>34</v>
      </c>
      <c r="I141" s="8" t="str">
        <f t="shared" ref="I141:I153" si="2">_xlfn.CONCAT(B141," ",E141,"-",F141,"-",G141," Ver. ",H141," de fecha 7/07/2025")</f>
        <v>RESUMEN DE LA EVALUACIÓN DE PERSONAL GSI-FO-006 Ver. 00 de fecha 7/07/2025</v>
      </c>
      <c r="J141" s="49"/>
      <c r="K141" s="11" t="s">
        <v>31</v>
      </c>
      <c r="L141" s="8" t="s">
        <v>36</v>
      </c>
      <c r="M141" s="11" t="s">
        <v>104</v>
      </c>
      <c r="N141" s="11" t="s">
        <v>38</v>
      </c>
      <c r="O141" s="11" t="s">
        <v>91</v>
      </c>
      <c r="P141" s="8" t="s">
        <v>40</v>
      </c>
      <c r="Q141" s="8" t="s">
        <v>41</v>
      </c>
      <c r="R141" s="52" t="s">
        <v>394</v>
      </c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67.5" customHeight="1" x14ac:dyDescent="0.2">
      <c r="A142" s="18">
        <v>135</v>
      </c>
      <c r="B142" s="170" t="s">
        <v>287</v>
      </c>
      <c r="C142" s="123"/>
      <c r="D142" s="124"/>
      <c r="E142" s="8" t="s">
        <v>458</v>
      </c>
      <c r="F142" s="18" t="s">
        <v>89</v>
      </c>
      <c r="G142" s="19" t="s">
        <v>53</v>
      </c>
      <c r="H142" s="10" t="s">
        <v>34</v>
      </c>
      <c r="I142" s="8" t="str">
        <f t="shared" si="2"/>
        <v>BACKLOG DE PROYECTOS GSI-FO-007 Ver. 00 de fecha 7/07/2025</v>
      </c>
      <c r="J142" s="49"/>
      <c r="K142" s="11" t="s">
        <v>31</v>
      </c>
      <c r="L142" s="11" t="s">
        <v>288</v>
      </c>
      <c r="M142" s="11" t="s">
        <v>289</v>
      </c>
      <c r="N142" s="11" t="s">
        <v>38</v>
      </c>
      <c r="O142" s="11" t="s">
        <v>91</v>
      </c>
      <c r="P142" s="8" t="s">
        <v>40</v>
      </c>
      <c r="Q142" s="8" t="s">
        <v>41</v>
      </c>
      <c r="R142" s="52" t="s">
        <v>394</v>
      </c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67.5" customHeight="1" x14ac:dyDescent="0.2">
      <c r="A143" s="18">
        <v>141</v>
      </c>
      <c r="B143" s="170" t="s">
        <v>290</v>
      </c>
      <c r="C143" s="123"/>
      <c r="D143" s="124"/>
      <c r="E143" s="8" t="s">
        <v>458</v>
      </c>
      <c r="F143" s="89" t="s">
        <v>89</v>
      </c>
      <c r="G143" s="90" t="s">
        <v>111</v>
      </c>
      <c r="H143" s="29" t="s">
        <v>34</v>
      </c>
      <c r="I143" s="8" t="str">
        <f t="shared" si="2"/>
        <v>FICHA DE LICITACIONES GSI-FO-013 Ver. 00 de fecha 7/07/2025</v>
      </c>
      <c r="J143" s="49"/>
      <c r="K143" s="11" t="s">
        <v>31</v>
      </c>
      <c r="L143" s="11" t="s">
        <v>288</v>
      </c>
      <c r="M143" s="11" t="s">
        <v>289</v>
      </c>
      <c r="N143" s="11" t="s">
        <v>38</v>
      </c>
      <c r="O143" s="11" t="s">
        <v>91</v>
      </c>
      <c r="P143" s="8" t="s">
        <v>40</v>
      </c>
      <c r="Q143" s="8" t="s">
        <v>41</v>
      </c>
      <c r="R143" s="52" t="s">
        <v>394</v>
      </c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67.5" customHeight="1" x14ac:dyDescent="0.2">
      <c r="A144" s="89">
        <v>142</v>
      </c>
      <c r="B144" s="171" t="s">
        <v>291</v>
      </c>
      <c r="C144" s="172"/>
      <c r="D144" s="172"/>
      <c r="E144" s="8" t="s">
        <v>458</v>
      </c>
      <c r="F144" s="109" t="s">
        <v>89</v>
      </c>
      <c r="G144" s="94" t="s">
        <v>113</v>
      </c>
      <c r="H144" s="110" t="s">
        <v>34</v>
      </c>
      <c r="I144" s="8" t="str">
        <f t="shared" si="2"/>
        <v>SEGUIMIENTO DE LICITACIONES GSI-FO-014 Ver. 00 de fecha 7/07/2025</v>
      </c>
      <c r="J144" s="108"/>
      <c r="K144" s="30" t="s">
        <v>31</v>
      </c>
      <c r="L144" s="30" t="s">
        <v>288</v>
      </c>
      <c r="M144" s="30" t="s">
        <v>289</v>
      </c>
      <c r="N144" s="30" t="s">
        <v>38</v>
      </c>
      <c r="O144" s="30" t="s">
        <v>91</v>
      </c>
      <c r="P144" s="26" t="s">
        <v>40</v>
      </c>
      <c r="Q144" s="26" t="s">
        <v>41</v>
      </c>
      <c r="R144" s="73" t="s">
        <v>394</v>
      </c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67.5" customHeight="1" x14ac:dyDescent="0.2">
      <c r="A145" s="93">
        <v>143</v>
      </c>
      <c r="B145" s="171" t="s">
        <v>414</v>
      </c>
      <c r="C145" s="172"/>
      <c r="D145" s="172"/>
      <c r="E145" s="8" t="s">
        <v>458</v>
      </c>
      <c r="F145" s="107" t="s">
        <v>89</v>
      </c>
      <c r="G145" s="94" t="s">
        <v>180</v>
      </c>
      <c r="H145" s="111" t="s">
        <v>34</v>
      </c>
      <c r="I145" s="8" t="str">
        <f t="shared" si="2"/>
        <v>CONTROL DE ENSAYO GSI-FO-050 Ver. 00 de fecha 7/07/2025</v>
      </c>
      <c r="J145" s="97"/>
      <c r="K145" s="87" t="s">
        <v>31</v>
      </c>
      <c r="L145" s="87" t="s">
        <v>288</v>
      </c>
      <c r="M145" s="87" t="s">
        <v>289</v>
      </c>
      <c r="N145" s="87" t="s">
        <v>38</v>
      </c>
      <c r="O145" s="87" t="s">
        <v>91</v>
      </c>
      <c r="P145" s="96" t="s">
        <v>40</v>
      </c>
      <c r="Q145" s="96" t="s">
        <v>343</v>
      </c>
      <c r="R145" s="88" t="s">
        <v>396</v>
      </c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67.5" customHeight="1" x14ac:dyDescent="0.2">
      <c r="A146" s="91">
        <v>143</v>
      </c>
      <c r="B146" s="167" t="s">
        <v>292</v>
      </c>
      <c r="C146" s="168"/>
      <c r="D146" s="169"/>
      <c r="E146" s="8" t="s">
        <v>458</v>
      </c>
      <c r="F146" s="91" t="s">
        <v>89</v>
      </c>
      <c r="G146" s="92" t="s">
        <v>33</v>
      </c>
      <c r="H146" s="112" t="s">
        <v>34</v>
      </c>
      <c r="I146" s="8" t="str">
        <f t="shared" si="2"/>
        <v>REPORTE PRELIMINAR DE EMERGENCIAS AMBIENTALES GSI-FO-001 Ver. 00 de fecha 7/07/2025</v>
      </c>
      <c r="J146" s="97"/>
      <c r="K146" s="87" t="s">
        <v>31</v>
      </c>
      <c r="L146" s="96" t="s">
        <v>36</v>
      </c>
      <c r="M146" s="78" t="s">
        <v>75</v>
      </c>
      <c r="N146" s="68" t="s">
        <v>38</v>
      </c>
      <c r="O146" s="68" t="s">
        <v>91</v>
      </c>
      <c r="P146" s="64" t="s">
        <v>40</v>
      </c>
      <c r="Q146" s="64" t="s">
        <v>41</v>
      </c>
      <c r="R146" s="69" t="s">
        <v>394</v>
      </c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67.5" customHeight="1" x14ac:dyDescent="0.2">
      <c r="A147" s="18">
        <v>144</v>
      </c>
      <c r="B147" s="167" t="s">
        <v>293</v>
      </c>
      <c r="C147" s="168"/>
      <c r="D147" s="169"/>
      <c r="E147" s="8" t="s">
        <v>458</v>
      </c>
      <c r="F147" s="18" t="s">
        <v>89</v>
      </c>
      <c r="G147" s="19" t="s">
        <v>43</v>
      </c>
      <c r="H147" s="10" t="s">
        <v>34</v>
      </c>
      <c r="I147" s="8" t="str">
        <f t="shared" si="2"/>
        <v>REPORTE FINAL DE EMERGENCIAS AMBIENTALES GSI-FO-002 Ver. 00 de fecha 7/07/2025</v>
      </c>
      <c r="J147" s="67"/>
      <c r="K147" s="68" t="s">
        <v>31</v>
      </c>
      <c r="L147" s="64" t="s">
        <v>36</v>
      </c>
      <c r="M147" s="11" t="s">
        <v>75</v>
      </c>
      <c r="N147" s="11" t="s">
        <v>38</v>
      </c>
      <c r="O147" s="11" t="s">
        <v>91</v>
      </c>
      <c r="P147" s="8" t="s">
        <v>40</v>
      </c>
      <c r="Q147" s="8" t="s">
        <v>41</v>
      </c>
      <c r="R147" s="52" t="s">
        <v>394</v>
      </c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67.5" customHeight="1" x14ac:dyDescent="0.2">
      <c r="A148" s="18">
        <v>145</v>
      </c>
      <c r="B148" s="167" t="s">
        <v>294</v>
      </c>
      <c r="C148" s="168"/>
      <c r="D148" s="169"/>
      <c r="E148" s="8" t="s">
        <v>458</v>
      </c>
      <c r="F148" s="18" t="s">
        <v>89</v>
      </c>
      <c r="G148" s="19" t="s">
        <v>45</v>
      </c>
      <c r="H148" s="10" t="s">
        <v>34</v>
      </c>
      <c r="I148" s="8" t="str">
        <f t="shared" si="2"/>
        <v>FICHA DE CONTROL DE RESIDUOS SÓLIDOS OFICINA GSI-FO-003 Ver. 00 de fecha 7/07/2025</v>
      </c>
      <c r="J148" s="49"/>
      <c r="K148" s="11" t="s">
        <v>31</v>
      </c>
      <c r="L148" s="8" t="s">
        <v>36</v>
      </c>
      <c r="M148" s="11" t="s">
        <v>75</v>
      </c>
      <c r="N148" s="11" t="s">
        <v>38</v>
      </c>
      <c r="O148" s="11" t="s">
        <v>91</v>
      </c>
      <c r="P148" s="8" t="s">
        <v>40</v>
      </c>
      <c r="Q148" s="8" t="s">
        <v>41</v>
      </c>
      <c r="R148" s="52" t="s">
        <v>394</v>
      </c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67.5" customHeight="1" x14ac:dyDescent="0.2">
      <c r="A149" s="18">
        <v>146</v>
      </c>
      <c r="B149" s="167" t="s">
        <v>295</v>
      </c>
      <c r="C149" s="168"/>
      <c r="D149" s="169"/>
      <c r="E149" s="8" t="s">
        <v>458</v>
      </c>
      <c r="F149" s="18" t="s">
        <v>89</v>
      </c>
      <c r="G149" s="19" t="s">
        <v>47</v>
      </c>
      <c r="H149" s="10" t="s">
        <v>34</v>
      </c>
      <c r="I149" s="8" t="str">
        <f t="shared" si="2"/>
        <v>FICHA DE CONTROL DE RESIDUOS SÓLIDOS OBRA GSI-FO-004 Ver. 00 de fecha 7/07/2025</v>
      </c>
      <c r="J149" s="49"/>
      <c r="K149" s="11" t="s">
        <v>73</v>
      </c>
      <c r="L149" s="8" t="s">
        <v>36</v>
      </c>
      <c r="M149" s="11" t="s">
        <v>75</v>
      </c>
      <c r="N149" s="11" t="s">
        <v>38</v>
      </c>
      <c r="O149" s="11" t="s">
        <v>91</v>
      </c>
      <c r="P149" s="8" t="s">
        <v>40</v>
      </c>
      <c r="Q149" s="8" t="s">
        <v>41</v>
      </c>
      <c r="R149" s="52" t="s">
        <v>394</v>
      </c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67.5" customHeight="1" x14ac:dyDescent="0.2">
      <c r="A150" s="18">
        <v>149</v>
      </c>
      <c r="B150" s="167" t="s">
        <v>296</v>
      </c>
      <c r="C150" s="168"/>
      <c r="D150" s="169"/>
      <c r="E150" s="8" t="s">
        <v>458</v>
      </c>
      <c r="F150" s="18" t="s">
        <v>89</v>
      </c>
      <c r="G150" s="19" t="s">
        <v>33</v>
      </c>
      <c r="H150" s="10" t="s">
        <v>34</v>
      </c>
      <c r="I150" s="8" t="str">
        <f t="shared" si="2"/>
        <v>FORMULARIO DE DEBIDA DILIGENCIA  GSI-FO-001 Ver. 00 de fecha 7/07/2025</v>
      </c>
      <c r="J150" s="49"/>
      <c r="K150" s="11" t="s">
        <v>31</v>
      </c>
      <c r="L150" s="8" t="s">
        <v>36</v>
      </c>
      <c r="M150" s="11" t="s">
        <v>297</v>
      </c>
      <c r="N150" s="11" t="s">
        <v>38</v>
      </c>
      <c r="O150" s="11" t="s">
        <v>91</v>
      </c>
      <c r="P150" s="8" t="s">
        <v>40</v>
      </c>
      <c r="Q150" s="8" t="s">
        <v>41</v>
      </c>
      <c r="R150" s="52" t="s">
        <v>394</v>
      </c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67.5" customHeight="1" x14ac:dyDescent="0.2">
      <c r="A151" s="18">
        <v>150</v>
      </c>
      <c r="B151" s="167" t="s">
        <v>298</v>
      </c>
      <c r="C151" s="168"/>
      <c r="D151" s="169"/>
      <c r="E151" s="8" t="s">
        <v>458</v>
      </c>
      <c r="F151" s="18" t="s">
        <v>89</v>
      </c>
      <c r="G151" s="19" t="s">
        <v>43</v>
      </c>
      <c r="H151" s="10" t="s">
        <v>34</v>
      </c>
      <c r="I151" s="8" t="str">
        <f t="shared" si="2"/>
        <v>DENUNCIA DE SOBORNO GSI-FO-002 Ver. 00 de fecha 7/07/2025</v>
      </c>
      <c r="J151" s="49"/>
      <c r="K151" s="11" t="s">
        <v>31</v>
      </c>
      <c r="L151" s="8" t="s">
        <v>36</v>
      </c>
      <c r="M151" s="11" t="s">
        <v>297</v>
      </c>
      <c r="N151" s="11" t="s">
        <v>38</v>
      </c>
      <c r="O151" s="11" t="s">
        <v>91</v>
      </c>
      <c r="P151" s="8" t="s">
        <v>40</v>
      </c>
      <c r="Q151" s="8" t="s">
        <v>41</v>
      </c>
      <c r="R151" s="52" t="s">
        <v>394</v>
      </c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67.5" customHeight="1" x14ac:dyDescent="0.2">
      <c r="A152" s="89">
        <v>151</v>
      </c>
      <c r="B152" s="167" t="s">
        <v>299</v>
      </c>
      <c r="C152" s="168"/>
      <c r="D152" s="169"/>
      <c r="E152" s="8" t="s">
        <v>458</v>
      </c>
      <c r="F152" s="89" t="s">
        <v>89</v>
      </c>
      <c r="G152" s="90" t="s">
        <v>45</v>
      </c>
      <c r="H152" s="29" t="s">
        <v>34</v>
      </c>
      <c r="I152" s="8" t="str">
        <f t="shared" si="2"/>
        <v>REGISTRO DE DENUNCIAS DE SOBORNO GSI-FO-003 Ver. 00 de fecha 7/07/2025</v>
      </c>
      <c r="J152" s="72"/>
      <c r="K152" s="30" t="s">
        <v>31</v>
      </c>
      <c r="L152" s="26" t="s">
        <v>36</v>
      </c>
      <c r="M152" s="30" t="s">
        <v>297</v>
      </c>
      <c r="N152" s="30" t="s">
        <v>38</v>
      </c>
      <c r="O152" s="30" t="s">
        <v>91</v>
      </c>
      <c r="P152" s="26" t="s">
        <v>40</v>
      </c>
      <c r="Q152" s="26" t="s">
        <v>41</v>
      </c>
      <c r="R152" s="73" t="s">
        <v>394</v>
      </c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67.5" customHeight="1" x14ac:dyDescent="0.2">
      <c r="A153" s="93">
        <v>152</v>
      </c>
      <c r="B153" s="167" t="s">
        <v>397</v>
      </c>
      <c r="C153" s="168"/>
      <c r="D153" s="169"/>
      <c r="E153" s="8" t="s">
        <v>458</v>
      </c>
      <c r="F153" s="93" t="s">
        <v>89</v>
      </c>
      <c r="G153" s="94" t="s">
        <v>49</v>
      </c>
      <c r="H153" s="95" t="s">
        <v>34</v>
      </c>
      <c r="I153" s="8" t="str">
        <f t="shared" si="2"/>
        <v>DECLARACIÓN JURADA DE VERACIDAD DE INFORMACIÓN Y DOCUMENTACIÓN DE CURRICULUM VITAE GSI-FO-005 Ver. 00 de fecha 7/07/2025</v>
      </c>
      <c r="J153" s="97"/>
      <c r="K153" s="87" t="s">
        <v>31</v>
      </c>
      <c r="L153" s="96" t="s">
        <v>36</v>
      </c>
      <c r="M153" s="87" t="s">
        <v>297</v>
      </c>
      <c r="N153" s="87" t="s">
        <v>38</v>
      </c>
      <c r="O153" s="87" t="s">
        <v>91</v>
      </c>
      <c r="P153" s="96" t="s">
        <v>40</v>
      </c>
      <c r="Q153" s="96" t="s">
        <v>343</v>
      </c>
      <c r="R153" s="88" t="s">
        <v>396</v>
      </c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39.75" customHeight="1" x14ac:dyDescent="0.2">
      <c r="A154" s="22"/>
      <c r="B154" s="16"/>
      <c r="C154" s="23"/>
      <c r="D154" s="24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39.75" customHeight="1" x14ac:dyDescent="0.2">
      <c r="A155" s="22"/>
      <c r="B155" s="16"/>
      <c r="C155" s="23"/>
      <c r="D155" s="24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39.75" customHeight="1" x14ac:dyDescent="0.2"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39.75" customHeight="1" x14ac:dyDescent="0.2"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90.75" customHeight="1" x14ac:dyDescent="0.2"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71.25" customHeight="1" x14ac:dyDescent="0.2">
      <c r="A159" s="98" t="s">
        <v>83</v>
      </c>
      <c r="B159" s="104"/>
      <c r="C159" s="105"/>
      <c r="D159" s="105"/>
      <c r="E159" s="105"/>
      <c r="F159" s="105"/>
      <c r="G159" s="105"/>
      <c r="H159" s="105"/>
      <c r="I159" s="105"/>
      <c r="J159" s="10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33.75" customHeight="1" x14ac:dyDescent="0.2">
      <c r="A160" s="99" t="s">
        <v>84</v>
      </c>
      <c r="B160" s="104"/>
      <c r="C160" s="105"/>
      <c r="D160" s="105"/>
      <c r="E160" s="105"/>
      <c r="F160" s="105"/>
      <c r="G160" s="105"/>
      <c r="H160" s="105"/>
      <c r="I160" s="105"/>
      <c r="J160" s="10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25.5" customHeight="1" x14ac:dyDescent="0.2">
      <c r="A161" s="99" t="s">
        <v>85</v>
      </c>
      <c r="B161" s="104"/>
      <c r="C161" s="105"/>
      <c r="D161" s="105"/>
      <c r="E161" s="105"/>
      <c r="F161" s="105"/>
      <c r="G161" s="105"/>
      <c r="H161" s="105"/>
      <c r="I161" s="105"/>
      <c r="J161" s="10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58.25" customHeight="1" x14ac:dyDescent="0.2">
      <c r="A162" s="99" t="s">
        <v>86</v>
      </c>
      <c r="B162" s="104"/>
      <c r="C162" s="105"/>
      <c r="D162" s="105"/>
      <c r="E162" s="105"/>
      <c r="F162" s="105"/>
      <c r="G162" s="105"/>
      <c r="H162" s="105"/>
      <c r="I162" s="105"/>
      <c r="J162" s="10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8.75" customHeight="1" x14ac:dyDescent="0.2">
      <c r="A163" s="99" t="s">
        <v>87</v>
      </c>
      <c r="B163" s="104"/>
      <c r="C163" s="105"/>
      <c r="D163" s="105"/>
      <c r="E163" s="105"/>
      <c r="F163" s="105"/>
      <c r="G163" s="105"/>
      <c r="H163" s="105"/>
      <c r="I163" s="105"/>
      <c r="J163" s="10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8.75" customHeight="1" x14ac:dyDescent="0.2">
      <c r="A164" s="22"/>
      <c r="B164" s="16"/>
      <c r="C164" s="23"/>
      <c r="D164" s="24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8.75" customHeight="1" x14ac:dyDescent="0.2">
      <c r="A165" s="22"/>
      <c r="B165" s="16"/>
      <c r="C165" s="23"/>
      <c r="D165" s="24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8.75" customHeight="1" x14ac:dyDescent="0.2">
      <c r="A166" s="22"/>
      <c r="B166" s="16"/>
      <c r="C166" s="23"/>
      <c r="D166" s="24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8.75" customHeight="1" x14ac:dyDescent="0.2">
      <c r="A167" s="22"/>
      <c r="B167" s="16"/>
      <c r="C167" s="23"/>
      <c r="D167" s="24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8.75" customHeight="1" x14ac:dyDescent="0.2">
      <c r="A168" s="22"/>
      <c r="B168" s="16"/>
      <c r="C168" s="23"/>
      <c r="D168" s="24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8.75" customHeight="1" x14ac:dyDescent="0.2">
      <c r="A169" s="22"/>
      <c r="B169" s="16"/>
      <c r="C169" s="23"/>
      <c r="D169" s="24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8.75" customHeight="1" x14ac:dyDescent="0.2">
      <c r="A170" s="22"/>
      <c r="B170" s="16"/>
      <c r="C170" s="23"/>
      <c r="D170" s="24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8.75" customHeight="1" x14ac:dyDescent="0.2">
      <c r="A171" s="22"/>
      <c r="B171" s="16"/>
      <c r="C171" s="23"/>
      <c r="D171" s="24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8.75" customHeight="1" x14ac:dyDescent="0.2">
      <c r="A172" s="22"/>
      <c r="B172" s="16"/>
      <c r="C172" s="23"/>
      <c r="D172" s="24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8.75" customHeight="1" x14ac:dyDescent="0.2">
      <c r="A173" s="22"/>
      <c r="B173" s="16"/>
      <c r="C173" s="23"/>
      <c r="D173" s="24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8.75" customHeight="1" x14ac:dyDescent="0.2">
      <c r="A174" s="22"/>
      <c r="B174" s="16"/>
      <c r="C174" s="23"/>
      <c r="D174" s="2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8.75" customHeight="1" x14ac:dyDescent="0.2">
      <c r="A175" s="22"/>
      <c r="B175" s="16"/>
      <c r="C175" s="23"/>
      <c r="D175" s="24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8.75" customHeight="1" x14ac:dyDescent="0.2">
      <c r="A176" s="22"/>
      <c r="B176" s="16"/>
      <c r="C176" s="23"/>
      <c r="D176" s="24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8.75" customHeight="1" x14ac:dyDescent="0.2">
      <c r="A177" s="22"/>
      <c r="B177" s="16"/>
      <c r="C177" s="23"/>
      <c r="D177" s="24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8.75" customHeight="1" x14ac:dyDescent="0.2">
      <c r="A178" s="22"/>
      <c r="B178" s="16"/>
      <c r="C178" s="23"/>
      <c r="D178" s="24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8.75" customHeight="1" x14ac:dyDescent="0.2">
      <c r="A179" s="22"/>
      <c r="B179" s="16"/>
      <c r="C179" s="23"/>
      <c r="D179" s="24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8.75" customHeight="1" x14ac:dyDescent="0.2">
      <c r="A180" s="22"/>
      <c r="B180" s="16"/>
      <c r="C180" s="23"/>
      <c r="D180" s="24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8.75" customHeight="1" x14ac:dyDescent="0.2">
      <c r="A181" s="22"/>
      <c r="B181" s="16"/>
      <c r="C181" s="23"/>
      <c r="D181" s="24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8.75" customHeight="1" x14ac:dyDescent="0.2">
      <c r="A182" s="22"/>
      <c r="B182" s="16"/>
      <c r="C182" s="23"/>
      <c r="D182" s="24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8.75" customHeight="1" x14ac:dyDescent="0.2">
      <c r="A183" s="22"/>
      <c r="B183" s="16"/>
      <c r="C183" s="23"/>
      <c r="D183" s="2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8.75" customHeight="1" x14ac:dyDescent="0.2">
      <c r="A184" s="22"/>
      <c r="B184" s="16"/>
      <c r="C184" s="23"/>
      <c r="D184" s="24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8.75" customHeight="1" x14ac:dyDescent="0.2">
      <c r="A185" s="22"/>
      <c r="B185" s="16"/>
      <c r="C185" s="23"/>
      <c r="D185" s="24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8.75" customHeight="1" x14ac:dyDescent="0.2">
      <c r="A186" s="22"/>
      <c r="B186" s="16"/>
      <c r="C186" s="23"/>
      <c r="D186" s="24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8.75" customHeight="1" x14ac:dyDescent="0.2">
      <c r="A187" s="22"/>
      <c r="B187" s="16"/>
      <c r="C187" s="23"/>
      <c r="D187" s="24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8.75" customHeight="1" x14ac:dyDescent="0.2">
      <c r="A188" s="22"/>
      <c r="B188" s="16"/>
      <c r="C188" s="23"/>
      <c r="D188" s="24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8.75" customHeight="1" x14ac:dyDescent="0.2">
      <c r="A189" s="22"/>
      <c r="B189" s="16"/>
      <c r="C189" s="23"/>
      <c r="D189" s="24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8.75" customHeight="1" x14ac:dyDescent="0.2">
      <c r="A190" s="22"/>
      <c r="B190" s="16"/>
      <c r="C190" s="23"/>
      <c r="D190" s="2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8.75" customHeight="1" x14ac:dyDescent="0.2">
      <c r="A191" s="22"/>
      <c r="B191" s="16"/>
      <c r="C191" s="23"/>
      <c r="D191" s="2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8.75" customHeight="1" x14ac:dyDescent="0.2">
      <c r="A192" s="22"/>
      <c r="B192" s="16"/>
      <c r="C192" s="23"/>
      <c r="D192" s="2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8.75" customHeight="1" x14ac:dyDescent="0.2">
      <c r="A193" s="22"/>
      <c r="B193" s="16"/>
      <c r="C193" s="23"/>
      <c r="D193" s="24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8.75" customHeight="1" x14ac:dyDescent="0.2">
      <c r="A194" s="22"/>
      <c r="B194" s="16"/>
      <c r="C194" s="23"/>
      <c r="D194" s="24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8.75" customHeight="1" x14ac:dyDescent="0.2">
      <c r="A195" s="22"/>
      <c r="B195" s="16"/>
      <c r="C195" s="23"/>
      <c r="D195" s="24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8.75" customHeight="1" x14ac:dyDescent="0.2">
      <c r="A196" s="22"/>
      <c r="B196" s="16"/>
      <c r="C196" s="23"/>
      <c r="D196" s="2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8.75" customHeight="1" x14ac:dyDescent="0.2">
      <c r="A197" s="22"/>
      <c r="B197" s="16"/>
      <c r="C197" s="23"/>
      <c r="D197" s="24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8.75" customHeight="1" x14ac:dyDescent="0.2">
      <c r="A198" s="22"/>
      <c r="B198" s="16"/>
      <c r="C198" s="23"/>
      <c r="D198" s="24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8.75" customHeight="1" x14ac:dyDescent="0.2">
      <c r="A199" s="22"/>
      <c r="B199" s="16"/>
      <c r="C199" s="23"/>
      <c r="D199" s="2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8.75" customHeight="1" x14ac:dyDescent="0.2">
      <c r="A200" s="22"/>
      <c r="B200" s="16"/>
      <c r="C200" s="23"/>
      <c r="D200" s="2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8.75" customHeight="1" x14ac:dyDescent="0.2">
      <c r="A201" s="22"/>
      <c r="B201" s="16"/>
      <c r="C201" s="23"/>
      <c r="D201" s="2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8.75" customHeight="1" x14ac:dyDescent="0.2">
      <c r="A202" s="22"/>
      <c r="B202" s="16"/>
      <c r="C202" s="23"/>
      <c r="D202" s="24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8.75" customHeight="1" x14ac:dyDescent="0.2">
      <c r="A203" s="22"/>
      <c r="B203" s="16"/>
      <c r="C203" s="23"/>
      <c r="D203" s="24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8.75" customHeight="1" x14ac:dyDescent="0.2">
      <c r="A204" s="22"/>
      <c r="B204" s="16"/>
      <c r="C204" s="23"/>
      <c r="D204" s="2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8.75" customHeight="1" x14ac:dyDescent="0.2">
      <c r="A205" s="22"/>
      <c r="B205" s="16"/>
      <c r="C205" s="23"/>
      <c r="D205" s="2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8.75" customHeight="1" x14ac:dyDescent="0.2">
      <c r="A206" s="22"/>
      <c r="B206" s="16"/>
      <c r="C206" s="23"/>
      <c r="D206" s="2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8.75" customHeight="1" x14ac:dyDescent="0.2">
      <c r="A207" s="22"/>
      <c r="B207" s="16"/>
      <c r="C207" s="23"/>
      <c r="D207" s="2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8.75" customHeight="1" x14ac:dyDescent="0.2">
      <c r="A208" s="22"/>
      <c r="B208" s="16"/>
      <c r="C208" s="23"/>
      <c r="D208" s="2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8.75" customHeight="1" x14ac:dyDescent="0.2">
      <c r="A209" s="22"/>
      <c r="B209" s="16"/>
      <c r="C209" s="23"/>
      <c r="D209" s="2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8.75" customHeight="1" x14ac:dyDescent="0.2">
      <c r="A210" s="22"/>
      <c r="B210" s="16"/>
      <c r="C210" s="23"/>
      <c r="D210" s="24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8.75" customHeight="1" x14ac:dyDescent="0.2">
      <c r="A211" s="22"/>
      <c r="B211" s="16"/>
      <c r="C211" s="23"/>
      <c r="D211" s="24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8.75" customHeight="1" x14ac:dyDescent="0.2">
      <c r="A212" s="22"/>
      <c r="B212" s="16"/>
      <c r="C212" s="23"/>
      <c r="D212" s="2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8.75" customHeight="1" x14ac:dyDescent="0.2">
      <c r="A213" s="22"/>
      <c r="B213" s="16"/>
      <c r="C213" s="23"/>
      <c r="D213" s="2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8.75" customHeight="1" x14ac:dyDescent="0.2">
      <c r="A214" s="22"/>
      <c r="B214" s="16"/>
      <c r="C214" s="23"/>
      <c r="D214" s="2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8.75" customHeight="1" x14ac:dyDescent="0.2">
      <c r="A215" s="22"/>
      <c r="B215" s="16"/>
      <c r="C215" s="23"/>
      <c r="D215" s="2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8.75" customHeight="1" x14ac:dyDescent="0.2">
      <c r="A216" s="22"/>
      <c r="B216" s="16"/>
      <c r="C216" s="23"/>
      <c r="D216" s="2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8.75" customHeight="1" x14ac:dyDescent="0.2">
      <c r="A217" s="22"/>
      <c r="B217" s="16"/>
      <c r="C217" s="23"/>
      <c r="D217" s="24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8.75" customHeight="1" x14ac:dyDescent="0.2">
      <c r="A218" s="22"/>
      <c r="B218" s="16"/>
      <c r="C218" s="23"/>
      <c r="D218" s="24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8.75" customHeight="1" x14ac:dyDescent="0.2">
      <c r="A219" s="22"/>
      <c r="B219" s="16"/>
      <c r="C219" s="23"/>
      <c r="D219" s="24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8.75" customHeight="1" x14ac:dyDescent="0.2">
      <c r="A220" s="22"/>
      <c r="B220" s="16"/>
      <c r="C220" s="23"/>
      <c r="D220" s="24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8.75" customHeight="1" x14ac:dyDescent="0.2">
      <c r="A221" s="22"/>
      <c r="B221" s="16"/>
      <c r="C221" s="23"/>
      <c r="D221" s="24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8.75" customHeight="1" x14ac:dyDescent="0.2">
      <c r="A222" s="22"/>
      <c r="B222" s="16"/>
      <c r="C222" s="23"/>
      <c r="D222" s="24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8.75" customHeight="1" x14ac:dyDescent="0.2">
      <c r="A223" s="22"/>
      <c r="B223" s="16"/>
      <c r="C223" s="23"/>
      <c r="D223" s="24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8.75" customHeight="1" x14ac:dyDescent="0.2">
      <c r="A224" s="22"/>
      <c r="B224" s="16"/>
      <c r="C224" s="23"/>
      <c r="D224" s="24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8.75" customHeight="1" x14ac:dyDescent="0.2">
      <c r="A225" s="22"/>
      <c r="B225" s="16"/>
      <c r="C225" s="23"/>
      <c r="D225" s="24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8.75" customHeight="1" x14ac:dyDescent="0.2">
      <c r="A226" s="22"/>
      <c r="B226" s="16"/>
      <c r="C226" s="23"/>
      <c r="D226" s="24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8.75" customHeight="1" x14ac:dyDescent="0.2">
      <c r="A227" s="22"/>
      <c r="B227" s="16"/>
      <c r="C227" s="23"/>
      <c r="D227" s="24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8.75" customHeight="1" x14ac:dyDescent="0.2">
      <c r="A228" s="22"/>
      <c r="B228" s="16"/>
      <c r="C228" s="23"/>
      <c r="D228" s="24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8.75" customHeight="1" x14ac:dyDescent="0.2">
      <c r="A229" s="22"/>
      <c r="B229" s="16"/>
      <c r="C229" s="23"/>
      <c r="D229" s="24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8.75" customHeight="1" x14ac:dyDescent="0.2">
      <c r="A230" s="22"/>
      <c r="B230" s="16"/>
      <c r="C230" s="23"/>
      <c r="D230" s="24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8.75" customHeight="1" x14ac:dyDescent="0.2">
      <c r="A231" s="22"/>
      <c r="B231" s="16"/>
      <c r="C231" s="23"/>
      <c r="D231" s="24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8.75" customHeight="1" x14ac:dyDescent="0.2">
      <c r="A232" s="22"/>
      <c r="B232" s="16"/>
      <c r="C232" s="23"/>
      <c r="D232" s="24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8.75" customHeight="1" x14ac:dyDescent="0.2">
      <c r="A233" s="22"/>
      <c r="B233" s="16"/>
      <c r="C233" s="23"/>
      <c r="D233" s="24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8.75" customHeight="1" x14ac:dyDescent="0.2">
      <c r="A234" s="22"/>
      <c r="B234" s="16"/>
      <c r="C234" s="23"/>
      <c r="D234" s="24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8.75" customHeight="1" x14ac:dyDescent="0.2">
      <c r="A235" s="22"/>
      <c r="B235" s="16"/>
      <c r="C235" s="23"/>
      <c r="D235" s="24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8.75" customHeight="1" x14ac:dyDescent="0.2">
      <c r="A236" s="22"/>
      <c r="B236" s="16"/>
      <c r="C236" s="23"/>
      <c r="D236" s="24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8.75" customHeight="1" x14ac:dyDescent="0.2">
      <c r="A237" s="22"/>
      <c r="B237" s="16"/>
      <c r="C237" s="23"/>
      <c r="D237" s="24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8.75" customHeight="1" x14ac:dyDescent="0.2">
      <c r="A238" s="22"/>
      <c r="B238" s="16"/>
      <c r="C238" s="23"/>
      <c r="D238" s="24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8.75" customHeight="1" x14ac:dyDescent="0.2">
      <c r="A239" s="22"/>
      <c r="B239" s="16"/>
      <c r="C239" s="23"/>
      <c r="D239" s="24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8.75" customHeight="1" x14ac:dyDescent="0.2">
      <c r="A240" s="22"/>
      <c r="B240" s="16"/>
      <c r="C240" s="23"/>
      <c r="D240" s="24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8.75" customHeight="1" x14ac:dyDescent="0.2">
      <c r="A241" s="22"/>
      <c r="B241" s="16"/>
      <c r="C241" s="23"/>
      <c r="D241" s="24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8.75" customHeight="1" x14ac:dyDescent="0.2">
      <c r="A242" s="22"/>
      <c r="B242" s="16"/>
      <c r="C242" s="23"/>
      <c r="D242" s="24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8.75" customHeight="1" x14ac:dyDescent="0.2">
      <c r="A243" s="22"/>
      <c r="B243" s="16"/>
      <c r="C243" s="23"/>
      <c r="D243" s="24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8.75" customHeight="1" x14ac:dyDescent="0.2">
      <c r="A244" s="22"/>
      <c r="B244" s="16"/>
      <c r="C244" s="23"/>
      <c r="D244" s="24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8.75" customHeight="1" x14ac:dyDescent="0.2">
      <c r="A245" s="22"/>
      <c r="B245" s="16"/>
      <c r="C245" s="23"/>
      <c r="D245" s="24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8.75" customHeight="1" x14ac:dyDescent="0.2">
      <c r="A246" s="22"/>
      <c r="B246" s="16"/>
      <c r="C246" s="23"/>
      <c r="D246" s="24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8.75" customHeight="1" x14ac:dyDescent="0.2">
      <c r="A247" s="22"/>
      <c r="B247" s="16"/>
      <c r="C247" s="23"/>
      <c r="D247" s="24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8.75" customHeight="1" x14ac:dyDescent="0.2">
      <c r="A248" s="22"/>
      <c r="B248" s="16"/>
      <c r="C248" s="23"/>
      <c r="D248" s="24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8.75" customHeight="1" x14ac:dyDescent="0.2">
      <c r="A249" s="22"/>
      <c r="B249" s="16"/>
      <c r="C249" s="23"/>
      <c r="D249" s="24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8.75" customHeight="1" x14ac:dyDescent="0.2">
      <c r="A250" s="22"/>
      <c r="B250" s="16"/>
      <c r="C250" s="23"/>
      <c r="D250" s="24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8.75" customHeight="1" x14ac:dyDescent="0.2">
      <c r="A251" s="22"/>
      <c r="B251" s="16"/>
      <c r="C251" s="23"/>
      <c r="D251" s="24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8.75" customHeight="1" x14ac:dyDescent="0.2">
      <c r="A252" s="22"/>
      <c r="B252" s="16"/>
      <c r="C252" s="23"/>
      <c r="D252" s="24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8.75" customHeight="1" x14ac:dyDescent="0.2">
      <c r="A253" s="22"/>
      <c r="B253" s="16"/>
      <c r="C253" s="23"/>
      <c r="D253" s="24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8.75" customHeight="1" x14ac:dyDescent="0.2">
      <c r="A254" s="22"/>
      <c r="B254" s="16"/>
      <c r="C254" s="23"/>
      <c r="D254" s="24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8.75" customHeight="1" x14ac:dyDescent="0.2">
      <c r="A255" s="22"/>
      <c r="B255" s="16"/>
      <c r="C255" s="23"/>
      <c r="D255" s="24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8.75" customHeight="1" x14ac:dyDescent="0.2">
      <c r="A256" s="22"/>
      <c r="B256" s="16"/>
      <c r="C256" s="23"/>
      <c r="D256" s="24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8.75" customHeight="1" x14ac:dyDescent="0.2">
      <c r="A257" s="22"/>
      <c r="B257" s="16"/>
      <c r="C257" s="23"/>
      <c r="D257" s="24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8.75" customHeight="1" x14ac:dyDescent="0.2">
      <c r="A258" s="22"/>
      <c r="B258" s="16"/>
      <c r="C258" s="23"/>
      <c r="D258" s="24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8.75" customHeight="1" x14ac:dyDescent="0.2">
      <c r="A259" s="22"/>
      <c r="B259" s="16"/>
      <c r="C259" s="23"/>
      <c r="D259" s="24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8.75" customHeight="1" x14ac:dyDescent="0.2">
      <c r="A260" s="22"/>
      <c r="B260" s="16"/>
      <c r="C260" s="23"/>
      <c r="D260" s="24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8.75" customHeight="1" x14ac:dyDescent="0.2">
      <c r="A261" s="22"/>
      <c r="B261" s="16"/>
      <c r="C261" s="23"/>
      <c r="D261" s="24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8.75" customHeight="1" x14ac:dyDescent="0.2">
      <c r="A262" s="22"/>
      <c r="B262" s="16"/>
      <c r="C262" s="23"/>
      <c r="D262" s="24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8.75" customHeight="1" x14ac:dyDescent="0.2">
      <c r="A263" s="22"/>
      <c r="B263" s="16"/>
      <c r="C263" s="23"/>
      <c r="D263" s="24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8.75" customHeight="1" x14ac:dyDescent="0.2">
      <c r="A264" s="22"/>
      <c r="B264" s="16"/>
      <c r="C264" s="23"/>
      <c r="D264" s="2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8.75" customHeight="1" x14ac:dyDescent="0.2">
      <c r="A265" s="22"/>
      <c r="B265" s="16"/>
      <c r="C265" s="23"/>
      <c r="D265" s="2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8.75" customHeight="1" x14ac:dyDescent="0.2">
      <c r="A266" s="22"/>
      <c r="B266" s="16"/>
      <c r="C266" s="23"/>
      <c r="D266" s="2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8.75" customHeight="1" x14ac:dyDescent="0.2">
      <c r="A267" s="22"/>
      <c r="B267" s="16"/>
      <c r="C267" s="23"/>
      <c r="D267" s="24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8.75" customHeight="1" x14ac:dyDescent="0.2">
      <c r="A268" s="22"/>
      <c r="B268" s="16"/>
      <c r="C268" s="23"/>
      <c r="D268" s="24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8.75" customHeight="1" x14ac:dyDescent="0.2">
      <c r="A269" s="22"/>
      <c r="B269" s="16"/>
      <c r="C269" s="23"/>
      <c r="D269" s="24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8.75" customHeight="1" x14ac:dyDescent="0.2">
      <c r="A270" s="22"/>
      <c r="B270" s="16"/>
      <c r="C270" s="23"/>
      <c r="D270" s="24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8.75" customHeight="1" x14ac:dyDescent="0.2">
      <c r="A271" s="22"/>
      <c r="B271" s="16"/>
      <c r="C271" s="23"/>
      <c r="D271" s="24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8.75" customHeight="1" x14ac:dyDescent="0.2">
      <c r="A272" s="22"/>
      <c r="B272" s="16"/>
      <c r="C272" s="23"/>
      <c r="D272" s="24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8.75" customHeight="1" x14ac:dyDescent="0.2">
      <c r="A273" s="22"/>
      <c r="B273" s="16"/>
      <c r="C273" s="23"/>
      <c r="D273" s="24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8.75" customHeight="1" x14ac:dyDescent="0.2">
      <c r="A274" s="22"/>
      <c r="B274" s="16"/>
      <c r="C274" s="23"/>
      <c r="D274" s="24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8.75" customHeight="1" x14ac:dyDescent="0.2">
      <c r="A275" s="22"/>
      <c r="B275" s="16"/>
      <c r="C275" s="23"/>
      <c r="D275" s="24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8.75" customHeight="1" x14ac:dyDescent="0.2">
      <c r="A276" s="22"/>
      <c r="B276" s="16"/>
      <c r="C276" s="23"/>
      <c r="D276" s="2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8.75" customHeight="1" x14ac:dyDescent="0.2">
      <c r="A277" s="22"/>
      <c r="B277" s="16"/>
      <c r="C277" s="23"/>
      <c r="D277" s="24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8.75" customHeight="1" x14ac:dyDescent="0.2">
      <c r="A278" s="22"/>
      <c r="B278" s="16"/>
      <c r="C278" s="23"/>
      <c r="D278" s="24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8.75" customHeight="1" x14ac:dyDescent="0.2">
      <c r="A279" s="22"/>
      <c r="B279" s="16"/>
      <c r="C279" s="23"/>
      <c r="D279" s="24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8.75" customHeight="1" x14ac:dyDescent="0.2">
      <c r="A280" s="22"/>
      <c r="B280" s="16"/>
      <c r="C280" s="23"/>
      <c r="D280" s="24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8.75" customHeight="1" x14ac:dyDescent="0.2">
      <c r="A281" s="22"/>
      <c r="B281" s="16"/>
      <c r="C281" s="23"/>
      <c r="D281" s="24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8.75" customHeight="1" x14ac:dyDescent="0.2">
      <c r="A282" s="22"/>
      <c r="B282" s="16"/>
      <c r="C282" s="23"/>
      <c r="D282" s="24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8.75" customHeight="1" x14ac:dyDescent="0.2">
      <c r="A283" s="22"/>
      <c r="B283" s="16"/>
      <c r="C283" s="23"/>
      <c r="D283" s="24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8.75" customHeight="1" x14ac:dyDescent="0.2">
      <c r="A284" s="22"/>
      <c r="B284" s="16"/>
      <c r="C284" s="23"/>
      <c r="D284" s="24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8.75" customHeight="1" x14ac:dyDescent="0.2">
      <c r="A285" s="22"/>
      <c r="B285" s="16"/>
      <c r="C285" s="23"/>
      <c r="D285" s="24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8.75" customHeight="1" x14ac:dyDescent="0.2">
      <c r="A286" s="22"/>
      <c r="B286" s="16"/>
      <c r="C286" s="23"/>
      <c r="D286" s="24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8.75" customHeight="1" x14ac:dyDescent="0.2">
      <c r="A287" s="22"/>
      <c r="B287" s="16"/>
      <c r="C287" s="23"/>
      <c r="D287" s="24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8.75" customHeight="1" x14ac:dyDescent="0.2">
      <c r="A288" s="22"/>
      <c r="B288" s="16"/>
      <c r="C288" s="23"/>
      <c r="D288" s="24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8.75" customHeight="1" x14ac:dyDescent="0.2">
      <c r="A289" s="22"/>
      <c r="B289" s="16"/>
      <c r="C289" s="23"/>
      <c r="D289" s="24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8.75" customHeight="1" x14ac:dyDescent="0.2">
      <c r="A290" s="22"/>
      <c r="B290" s="16"/>
      <c r="C290" s="23"/>
      <c r="D290" s="24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8.75" customHeight="1" x14ac:dyDescent="0.2">
      <c r="A291" s="22"/>
      <c r="B291" s="16"/>
      <c r="C291" s="23"/>
      <c r="D291" s="24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8.75" customHeight="1" x14ac:dyDescent="0.2">
      <c r="A292" s="22"/>
      <c r="B292" s="16"/>
      <c r="C292" s="23"/>
      <c r="D292" s="24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8.75" customHeight="1" x14ac:dyDescent="0.2">
      <c r="A293" s="22"/>
      <c r="B293" s="16"/>
      <c r="C293" s="23"/>
      <c r="D293" s="24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8.75" customHeight="1" x14ac:dyDescent="0.2">
      <c r="A294" s="22"/>
      <c r="B294" s="16"/>
      <c r="C294" s="23"/>
      <c r="D294" s="24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8.75" customHeight="1" x14ac:dyDescent="0.2">
      <c r="A295" s="22"/>
      <c r="B295" s="16"/>
      <c r="C295" s="23"/>
      <c r="D295" s="24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8.75" customHeight="1" x14ac:dyDescent="0.2">
      <c r="A296" s="22"/>
      <c r="B296" s="16"/>
      <c r="C296" s="23"/>
      <c r="D296" s="24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8.75" customHeight="1" x14ac:dyDescent="0.2">
      <c r="A297" s="22"/>
      <c r="B297" s="16"/>
      <c r="C297" s="23"/>
      <c r="D297" s="24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8.75" customHeight="1" x14ac:dyDescent="0.2">
      <c r="A298" s="22"/>
      <c r="B298" s="16"/>
      <c r="C298" s="23"/>
      <c r="D298" s="24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8.75" customHeight="1" x14ac:dyDescent="0.2">
      <c r="A299" s="22"/>
      <c r="B299" s="16"/>
      <c r="C299" s="23"/>
      <c r="D299" s="24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8.75" customHeight="1" x14ac:dyDescent="0.2">
      <c r="A300" s="22"/>
      <c r="B300" s="16"/>
      <c r="C300" s="23"/>
      <c r="D300" s="24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8.75" customHeight="1" x14ac:dyDescent="0.2">
      <c r="A301" s="22"/>
      <c r="B301" s="16"/>
      <c r="C301" s="23"/>
      <c r="D301" s="24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8.75" customHeight="1" x14ac:dyDescent="0.2">
      <c r="A302" s="22"/>
      <c r="B302" s="16"/>
      <c r="C302" s="23"/>
      <c r="D302" s="24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8.75" customHeight="1" x14ac:dyDescent="0.2">
      <c r="A303" s="22"/>
      <c r="B303" s="16"/>
      <c r="C303" s="23"/>
      <c r="D303" s="24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8.75" customHeight="1" x14ac:dyDescent="0.2">
      <c r="A304" s="22"/>
      <c r="B304" s="16"/>
      <c r="C304" s="23"/>
      <c r="D304" s="24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8.75" customHeight="1" x14ac:dyDescent="0.2">
      <c r="A305" s="22"/>
      <c r="B305" s="16"/>
      <c r="C305" s="23"/>
      <c r="D305" s="24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8.75" customHeight="1" x14ac:dyDescent="0.2">
      <c r="A306" s="22"/>
      <c r="B306" s="16"/>
      <c r="C306" s="23"/>
      <c r="D306" s="24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8.75" customHeight="1" x14ac:dyDescent="0.2">
      <c r="A307" s="22"/>
      <c r="B307" s="16"/>
      <c r="C307" s="23"/>
      <c r="D307" s="2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8.75" customHeight="1" x14ac:dyDescent="0.2">
      <c r="A308" s="22"/>
      <c r="B308" s="16"/>
      <c r="C308" s="23"/>
      <c r="D308" s="24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8.75" customHeight="1" x14ac:dyDescent="0.2">
      <c r="A309" s="22"/>
      <c r="B309" s="16"/>
      <c r="C309" s="23"/>
      <c r="D309" s="24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8.75" customHeight="1" x14ac:dyDescent="0.2">
      <c r="A310" s="22"/>
      <c r="B310" s="16"/>
      <c r="C310" s="23"/>
      <c r="D310" s="24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8.75" customHeight="1" x14ac:dyDescent="0.2">
      <c r="A311" s="22"/>
      <c r="B311" s="16"/>
      <c r="C311" s="23"/>
      <c r="D311" s="2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8.75" customHeight="1" x14ac:dyDescent="0.2">
      <c r="A312" s="22"/>
      <c r="B312" s="16"/>
      <c r="C312" s="23"/>
      <c r="D312" s="2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8.75" customHeight="1" x14ac:dyDescent="0.2">
      <c r="A313" s="22"/>
      <c r="B313" s="16"/>
      <c r="C313" s="23"/>
      <c r="D313" s="2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8.75" customHeight="1" x14ac:dyDescent="0.2">
      <c r="A314" s="22"/>
      <c r="B314" s="16"/>
      <c r="C314" s="23"/>
      <c r="D314" s="2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8.75" customHeight="1" x14ac:dyDescent="0.2">
      <c r="A315" s="22"/>
      <c r="B315" s="16"/>
      <c r="C315" s="23"/>
      <c r="D315" s="2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8.75" customHeight="1" x14ac:dyDescent="0.2">
      <c r="A316" s="22"/>
      <c r="B316" s="16"/>
      <c r="C316" s="23"/>
      <c r="D316" s="2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8.75" customHeight="1" x14ac:dyDescent="0.2">
      <c r="A317" s="22"/>
      <c r="B317" s="16"/>
      <c r="C317" s="23"/>
      <c r="D317" s="2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8.75" customHeight="1" x14ac:dyDescent="0.2">
      <c r="A318" s="22"/>
      <c r="B318" s="16"/>
      <c r="C318" s="23"/>
      <c r="D318" s="2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8.75" customHeight="1" x14ac:dyDescent="0.2">
      <c r="A319" s="22"/>
      <c r="B319" s="16"/>
      <c r="C319" s="23"/>
      <c r="D319" s="2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8.75" customHeight="1" x14ac:dyDescent="0.2">
      <c r="A320" s="22"/>
      <c r="B320" s="16"/>
      <c r="C320" s="23"/>
      <c r="D320" s="2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8.75" customHeight="1" x14ac:dyDescent="0.2">
      <c r="A321" s="22"/>
      <c r="B321" s="16"/>
      <c r="C321" s="23"/>
      <c r="D321" s="2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8.75" customHeight="1" x14ac:dyDescent="0.2">
      <c r="A322" s="22"/>
      <c r="B322" s="16"/>
      <c r="C322" s="23"/>
      <c r="D322" s="2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8.75" customHeight="1" x14ac:dyDescent="0.2">
      <c r="A323" s="22"/>
      <c r="B323" s="16"/>
      <c r="C323" s="23"/>
      <c r="D323" s="2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8.75" customHeight="1" x14ac:dyDescent="0.2">
      <c r="A324" s="22"/>
      <c r="B324" s="16"/>
      <c r="C324" s="23"/>
      <c r="D324" s="2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8.75" customHeight="1" x14ac:dyDescent="0.2">
      <c r="A325" s="22"/>
      <c r="B325" s="16"/>
      <c r="C325" s="23"/>
      <c r="D325" s="2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8.75" customHeight="1" x14ac:dyDescent="0.2">
      <c r="A326" s="22"/>
      <c r="B326" s="16"/>
      <c r="C326" s="23"/>
      <c r="D326" s="2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8.75" customHeight="1" x14ac:dyDescent="0.2">
      <c r="A327" s="22"/>
      <c r="B327" s="16"/>
      <c r="C327" s="23"/>
      <c r="D327" s="2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8.75" customHeight="1" x14ac:dyDescent="0.2">
      <c r="A328" s="22"/>
      <c r="B328" s="16"/>
      <c r="C328" s="23"/>
      <c r="D328" s="2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8.75" customHeight="1" x14ac:dyDescent="0.2">
      <c r="A329" s="22"/>
      <c r="B329" s="16"/>
      <c r="C329" s="23"/>
      <c r="D329" s="2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8.75" customHeight="1" x14ac:dyDescent="0.2">
      <c r="A330" s="22"/>
      <c r="B330" s="16"/>
      <c r="C330" s="23"/>
      <c r="D330" s="2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8.75" customHeight="1" x14ac:dyDescent="0.2">
      <c r="A331" s="22"/>
      <c r="B331" s="16"/>
      <c r="C331" s="23"/>
      <c r="D331" s="2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8.75" customHeight="1" x14ac:dyDescent="0.2">
      <c r="A332" s="22"/>
      <c r="B332" s="16"/>
      <c r="C332" s="23"/>
      <c r="D332" s="2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8.75" customHeight="1" x14ac:dyDescent="0.2">
      <c r="A333" s="22"/>
      <c r="B333" s="16"/>
      <c r="C333" s="23"/>
      <c r="D333" s="2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8.75" customHeight="1" x14ac:dyDescent="0.2">
      <c r="A334" s="22"/>
      <c r="B334" s="16"/>
      <c r="C334" s="23"/>
      <c r="D334" s="2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8.75" customHeight="1" x14ac:dyDescent="0.2">
      <c r="A335" s="22"/>
      <c r="B335" s="16"/>
      <c r="C335" s="23"/>
      <c r="D335" s="2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8.75" customHeight="1" x14ac:dyDescent="0.2">
      <c r="A336" s="22"/>
      <c r="B336" s="16"/>
      <c r="C336" s="23"/>
      <c r="D336" s="2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8.75" customHeight="1" x14ac:dyDescent="0.2">
      <c r="A337" s="22"/>
      <c r="B337" s="16"/>
      <c r="C337" s="23"/>
      <c r="D337" s="2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8.75" customHeight="1" x14ac:dyDescent="0.2">
      <c r="A338" s="22"/>
      <c r="B338" s="16"/>
      <c r="C338" s="23"/>
      <c r="D338" s="2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8.75" customHeight="1" x14ac:dyDescent="0.2">
      <c r="A339" s="22"/>
      <c r="B339" s="16"/>
      <c r="C339" s="23"/>
      <c r="D339" s="2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8.75" customHeight="1" x14ac:dyDescent="0.2">
      <c r="A340" s="22"/>
      <c r="B340" s="16"/>
      <c r="C340" s="23"/>
      <c r="D340" s="2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8.75" customHeight="1" x14ac:dyDescent="0.2">
      <c r="A341" s="22"/>
      <c r="B341" s="16"/>
      <c r="C341" s="23"/>
      <c r="D341" s="2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8.75" customHeight="1" x14ac:dyDescent="0.2">
      <c r="A342" s="22"/>
      <c r="B342" s="16"/>
      <c r="C342" s="23"/>
      <c r="D342" s="2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8.75" customHeight="1" x14ac:dyDescent="0.2">
      <c r="A343" s="22"/>
      <c r="B343" s="16"/>
      <c r="C343" s="23"/>
      <c r="D343" s="2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8.75" customHeight="1" x14ac:dyDescent="0.2">
      <c r="A344" s="22"/>
      <c r="B344" s="16"/>
      <c r="C344" s="23"/>
      <c r="D344" s="2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8.75" customHeight="1" x14ac:dyDescent="0.2">
      <c r="A345" s="22"/>
      <c r="B345" s="16"/>
      <c r="C345" s="23"/>
      <c r="D345" s="2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8.75" customHeight="1" x14ac:dyDescent="0.2">
      <c r="A346" s="22"/>
      <c r="B346" s="16"/>
      <c r="C346" s="23"/>
      <c r="D346" s="2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8.75" customHeight="1" x14ac:dyDescent="0.2">
      <c r="A347" s="22"/>
      <c r="B347" s="16"/>
      <c r="C347" s="23"/>
      <c r="D347" s="2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8.75" customHeight="1" x14ac:dyDescent="0.2">
      <c r="A348" s="22"/>
      <c r="B348" s="16"/>
      <c r="C348" s="23"/>
      <c r="D348" s="2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8.75" customHeight="1" x14ac:dyDescent="0.2">
      <c r="A349" s="22"/>
      <c r="B349" s="16"/>
      <c r="C349" s="23"/>
      <c r="D349" s="2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8.75" customHeight="1" x14ac:dyDescent="0.2">
      <c r="A350" s="22"/>
      <c r="B350" s="16"/>
      <c r="C350" s="23"/>
      <c r="D350" s="2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8.75" customHeight="1" x14ac:dyDescent="0.2">
      <c r="A351" s="22"/>
      <c r="B351" s="16"/>
      <c r="C351" s="23"/>
      <c r="D351" s="2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8.75" customHeight="1" x14ac:dyDescent="0.2">
      <c r="A352" s="22"/>
      <c r="B352" s="16"/>
      <c r="C352" s="23"/>
      <c r="D352" s="2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8.75" customHeight="1" x14ac:dyDescent="0.2">
      <c r="A353" s="22"/>
      <c r="B353" s="16"/>
      <c r="C353" s="23"/>
      <c r="D353" s="2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8.75" customHeight="1" x14ac:dyDescent="0.2">
      <c r="A354" s="22"/>
      <c r="B354" s="16"/>
      <c r="C354" s="23"/>
      <c r="D354" s="2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8.75" customHeight="1" x14ac:dyDescent="0.2">
      <c r="A355" s="22"/>
      <c r="B355" s="16"/>
      <c r="C355" s="23"/>
      <c r="D355" s="2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8.75" customHeight="1" x14ac:dyDescent="0.2">
      <c r="A356" s="22"/>
      <c r="B356" s="16"/>
      <c r="C356" s="23"/>
      <c r="D356" s="2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8.75" customHeight="1" x14ac:dyDescent="0.2">
      <c r="A357" s="22"/>
      <c r="B357" s="16"/>
      <c r="C357" s="23"/>
      <c r="D357" s="2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8.75" customHeight="1" x14ac:dyDescent="0.2">
      <c r="A358" s="22"/>
      <c r="B358" s="16"/>
      <c r="C358" s="23"/>
      <c r="D358" s="2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8.75" customHeight="1" x14ac:dyDescent="0.2">
      <c r="A359" s="22"/>
      <c r="B359" s="16"/>
      <c r="C359" s="23"/>
      <c r="D359" s="2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8.75" customHeight="1" x14ac:dyDescent="0.2">
      <c r="A360" s="22"/>
      <c r="B360" s="16"/>
      <c r="C360" s="23"/>
      <c r="D360" s="2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8.75" customHeight="1" x14ac:dyDescent="0.2">
      <c r="A361" s="22"/>
      <c r="B361" s="16"/>
      <c r="C361" s="23"/>
      <c r="D361" s="2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8.75" customHeight="1" x14ac:dyDescent="0.2">
      <c r="A362" s="22"/>
      <c r="B362" s="16"/>
      <c r="C362" s="23"/>
      <c r="D362" s="2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8.75" customHeight="1" x14ac:dyDescent="0.2">
      <c r="A363" s="22"/>
      <c r="B363" s="16"/>
      <c r="C363" s="23"/>
      <c r="D363" s="2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8.75" customHeight="1" x14ac:dyDescent="0.2">
      <c r="A364" s="22"/>
      <c r="B364" s="16"/>
      <c r="C364" s="23"/>
      <c r="D364" s="2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8.75" customHeight="1" x14ac:dyDescent="0.2">
      <c r="A365" s="22"/>
      <c r="B365" s="16"/>
      <c r="C365" s="23"/>
      <c r="D365" s="2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8.75" customHeight="1" x14ac:dyDescent="0.2">
      <c r="A366" s="22"/>
      <c r="B366" s="16"/>
      <c r="C366" s="23"/>
      <c r="D366" s="2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8.75" customHeight="1" x14ac:dyDescent="0.2">
      <c r="A367" s="22"/>
      <c r="B367" s="16"/>
      <c r="C367" s="23"/>
      <c r="D367" s="2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8.75" customHeight="1" x14ac:dyDescent="0.2">
      <c r="A368" s="22"/>
      <c r="B368" s="16"/>
      <c r="C368" s="23"/>
      <c r="D368" s="2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8.75" customHeight="1" x14ac:dyDescent="0.2">
      <c r="A369" s="22"/>
      <c r="B369" s="16"/>
      <c r="C369" s="23"/>
      <c r="D369" s="2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8.75" customHeight="1" x14ac:dyDescent="0.2">
      <c r="A370" s="22"/>
      <c r="B370" s="16"/>
      <c r="C370" s="23"/>
      <c r="D370" s="2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8.75" customHeight="1" x14ac:dyDescent="0.2">
      <c r="A371" s="22"/>
      <c r="B371" s="16"/>
      <c r="C371" s="23"/>
      <c r="D371" s="2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8.75" customHeight="1" x14ac:dyDescent="0.2">
      <c r="A372" s="22"/>
      <c r="B372" s="16"/>
      <c r="C372" s="23"/>
      <c r="D372" s="2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8.75" customHeight="1" x14ac:dyDescent="0.2">
      <c r="A373" s="22"/>
      <c r="B373" s="16"/>
      <c r="C373" s="23"/>
      <c r="D373" s="2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8.75" customHeight="1" x14ac:dyDescent="0.2">
      <c r="A374" s="22"/>
      <c r="B374" s="16"/>
      <c r="C374" s="23"/>
      <c r="D374" s="2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8.75" customHeight="1" x14ac:dyDescent="0.2">
      <c r="A375" s="22"/>
      <c r="B375" s="16"/>
      <c r="C375" s="23"/>
      <c r="D375" s="2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8.75" customHeight="1" x14ac:dyDescent="0.2">
      <c r="A376" s="22"/>
      <c r="B376" s="16"/>
      <c r="C376" s="23"/>
      <c r="D376" s="2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8.75" customHeight="1" x14ac:dyDescent="0.2">
      <c r="A377" s="22"/>
      <c r="B377" s="16"/>
      <c r="C377" s="23"/>
      <c r="D377" s="2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8.75" customHeight="1" x14ac:dyDescent="0.2">
      <c r="A378" s="22"/>
      <c r="B378" s="16"/>
      <c r="C378" s="23"/>
      <c r="D378" s="2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8.75" customHeight="1" x14ac:dyDescent="0.2">
      <c r="A379" s="22"/>
      <c r="B379" s="16"/>
      <c r="C379" s="23"/>
      <c r="D379" s="2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8.75" customHeight="1" x14ac:dyDescent="0.2">
      <c r="A380" s="22"/>
      <c r="B380" s="16"/>
      <c r="C380" s="23"/>
      <c r="D380" s="2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8.75" customHeight="1" x14ac:dyDescent="0.2">
      <c r="A381" s="22"/>
      <c r="B381" s="16"/>
      <c r="C381" s="23"/>
      <c r="D381" s="2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8.75" customHeight="1" x14ac:dyDescent="0.2">
      <c r="A382" s="22"/>
      <c r="B382" s="16"/>
      <c r="C382" s="23"/>
      <c r="D382" s="2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8.75" customHeight="1" x14ac:dyDescent="0.2">
      <c r="A383" s="22"/>
      <c r="B383" s="16"/>
      <c r="C383" s="23"/>
      <c r="D383" s="2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8.75" customHeight="1" x14ac:dyDescent="0.2">
      <c r="A384" s="22"/>
      <c r="B384" s="16"/>
      <c r="C384" s="23"/>
      <c r="D384" s="2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8.75" customHeight="1" x14ac:dyDescent="0.2">
      <c r="A385" s="22"/>
      <c r="B385" s="16"/>
      <c r="C385" s="23"/>
      <c r="D385" s="2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8.75" customHeight="1" x14ac:dyDescent="0.2">
      <c r="A386" s="22"/>
      <c r="B386" s="16"/>
      <c r="C386" s="23"/>
      <c r="D386" s="2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8.75" customHeight="1" x14ac:dyDescent="0.2">
      <c r="A387" s="22"/>
      <c r="B387" s="16"/>
      <c r="C387" s="23"/>
      <c r="D387" s="2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8.75" customHeight="1" x14ac:dyDescent="0.2">
      <c r="A388" s="22"/>
      <c r="B388" s="16"/>
      <c r="C388" s="23"/>
      <c r="D388" s="2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8.75" customHeight="1" x14ac:dyDescent="0.2">
      <c r="A389" s="22"/>
      <c r="B389" s="16"/>
      <c r="C389" s="23"/>
      <c r="D389" s="2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8.75" customHeight="1" x14ac:dyDescent="0.2">
      <c r="A390" s="22"/>
      <c r="B390" s="16"/>
      <c r="C390" s="23"/>
      <c r="D390" s="2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8.75" customHeight="1" x14ac:dyDescent="0.2">
      <c r="A391" s="22"/>
      <c r="B391" s="16"/>
      <c r="C391" s="23"/>
      <c r="D391" s="2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8.75" customHeight="1" x14ac:dyDescent="0.2">
      <c r="A392" s="22"/>
      <c r="B392" s="16"/>
      <c r="C392" s="23"/>
      <c r="D392" s="2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8.75" customHeight="1" x14ac:dyDescent="0.2">
      <c r="A393" s="22"/>
      <c r="B393" s="16"/>
      <c r="C393" s="23"/>
      <c r="D393" s="2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8.75" customHeight="1" x14ac:dyDescent="0.2">
      <c r="A394" s="22"/>
      <c r="B394" s="16"/>
      <c r="C394" s="23"/>
      <c r="D394" s="2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8.75" customHeight="1" x14ac:dyDescent="0.2">
      <c r="A395" s="22"/>
      <c r="B395" s="16"/>
      <c r="C395" s="23"/>
      <c r="D395" s="2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8.75" customHeight="1" x14ac:dyDescent="0.2">
      <c r="A396" s="22"/>
      <c r="B396" s="16"/>
      <c r="C396" s="23"/>
      <c r="D396" s="2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8.75" customHeight="1" x14ac:dyDescent="0.2">
      <c r="A397" s="22"/>
      <c r="B397" s="16"/>
      <c r="C397" s="23"/>
      <c r="D397" s="2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8.75" customHeight="1" x14ac:dyDescent="0.2">
      <c r="A398" s="22"/>
      <c r="B398" s="16"/>
      <c r="C398" s="23"/>
      <c r="D398" s="2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8.75" customHeight="1" x14ac:dyDescent="0.2">
      <c r="A399" s="22"/>
      <c r="B399" s="16"/>
      <c r="C399" s="23"/>
      <c r="D399" s="2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8.75" customHeight="1" x14ac:dyDescent="0.2">
      <c r="A400" s="22"/>
      <c r="B400" s="16"/>
      <c r="C400" s="23"/>
      <c r="D400" s="2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8.75" customHeight="1" x14ac:dyDescent="0.2">
      <c r="A401" s="22"/>
      <c r="B401" s="16"/>
      <c r="C401" s="23"/>
      <c r="D401" s="24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8.75" customHeight="1" x14ac:dyDescent="0.2">
      <c r="A402" s="22"/>
      <c r="B402" s="16"/>
      <c r="C402" s="23"/>
      <c r="D402" s="24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8.75" customHeight="1" x14ac:dyDescent="0.2">
      <c r="A403" s="22"/>
      <c r="B403" s="16"/>
      <c r="C403" s="23"/>
      <c r="D403" s="2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8.75" customHeight="1" x14ac:dyDescent="0.2">
      <c r="A404" s="22"/>
      <c r="B404" s="16"/>
      <c r="C404" s="23"/>
      <c r="D404" s="24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8.75" customHeight="1" x14ac:dyDescent="0.2">
      <c r="A405" s="22"/>
      <c r="B405" s="16"/>
      <c r="C405" s="23"/>
      <c r="D405" s="24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8.75" customHeight="1" x14ac:dyDescent="0.2">
      <c r="A406" s="22"/>
      <c r="B406" s="16"/>
      <c r="C406" s="23"/>
      <c r="D406" s="2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8.75" customHeight="1" x14ac:dyDescent="0.2">
      <c r="A407" s="22"/>
      <c r="B407" s="16"/>
      <c r="C407" s="23"/>
      <c r="D407" s="24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8.75" customHeight="1" x14ac:dyDescent="0.2">
      <c r="A408" s="22"/>
      <c r="B408" s="16"/>
      <c r="C408" s="23"/>
      <c r="D408" s="24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8.75" customHeight="1" x14ac:dyDescent="0.2">
      <c r="A409" s="22"/>
      <c r="B409" s="16"/>
      <c r="C409" s="23"/>
      <c r="D409" s="24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8.75" customHeight="1" x14ac:dyDescent="0.2">
      <c r="A410" s="22"/>
      <c r="B410" s="16"/>
      <c r="C410" s="23"/>
      <c r="D410" s="24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8.75" customHeight="1" x14ac:dyDescent="0.2">
      <c r="A411" s="22"/>
      <c r="B411" s="16"/>
      <c r="C411" s="23"/>
      <c r="D411" s="24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8.75" customHeight="1" x14ac:dyDescent="0.2">
      <c r="A412" s="22"/>
      <c r="B412" s="16"/>
      <c r="C412" s="23"/>
      <c r="D412" s="24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8.75" customHeight="1" x14ac:dyDescent="0.2">
      <c r="A413" s="22"/>
      <c r="B413" s="16"/>
      <c r="C413" s="23"/>
      <c r="D413" s="24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8.75" customHeight="1" x14ac:dyDescent="0.2">
      <c r="A414" s="22"/>
      <c r="B414" s="16"/>
      <c r="C414" s="23"/>
      <c r="D414" s="24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8.75" customHeight="1" x14ac:dyDescent="0.2">
      <c r="A415" s="22"/>
      <c r="B415" s="16"/>
      <c r="C415" s="23"/>
      <c r="D415" s="24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8.75" customHeight="1" x14ac:dyDescent="0.2">
      <c r="A416" s="22"/>
      <c r="B416" s="16"/>
      <c r="C416" s="23"/>
      <c r="D416" s="24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8.75" customHeight="1" x14ac:dyDescent="0.2">
      <c r="A417" s="22"/>
      <c r="B417" s="16"/>
      <c r="C417" s="23"/>
      <c r="D417" s="24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8.75" customHeight="1" x14ac:dyDescent="0.2">
      <c r="A418" s="22"/>
      <c r="B418" s="16"/>
      <c r="C418" s="23"/>
      <c r="D418" s="24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8.75" customHeight="1" x14ac:dyDescent="0.2">
      <c r="A419" s="22"/>
      <c r="B419" s="16"/>
      <c r="C419" s="23"/>
      <c r="D419" s="24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8.75" customHeight="1" x14ac:dyDescent="0.2">
      <c r="A420" s="22"/>
      <c r="B420" s="16"/>
      <c r="C420" s="23"/>
      <c r="D420" s="24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8.75" customHeight="1" x14ac:dyDescent="0.2">
      <c r="A421" s="22"/>
      <c r="B421" s="16"/>
      <c r="C421" s="23"/>
      <c r="D421" s="24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8.75" customHeight="1" x14ac:dyDescent="0.2">
      <c r="A422" s="22"/>
      <c r="B422" s="16"/>
      <c r="C422" s="23"/>
      <c r="D422" s="24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8.75" customHeight="1" x14ac:dyDescent="0.2">
      <c r="A423" s="22"/>
      <c r="B423" s="16"/>
      <c r="C423" s="23"/>
      <c r="D423" s="2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8.75" customHeight="1" x14ac:dyDescent="0.2">
      <c r="A424" s="22"/>
      <c r="B424" s="16"/>
      <c r="C424" s="23"/>
      <c r="D424" s="2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8.75" customHeight="1" x14ac:dyDescent="0.2">
      <c r="A425" s="22"/>
      <c r="B425" s="16"/>
      <c r="C425" s="23"/>
      <c r="D425" s="2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8.75" customHeight="1" x14ac:dyDescent="0.2">
      <c r="A426" s="22"/>
      <c r="B426" s="16"/>
      <c r="C426" s="23"/>
      <c r="D426" s="24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8.75" customHeight="1" x14ac:dyDescent="0.2">
      <c r="A427" s="22"/>
      <c r="B427" s="16"/>
      <c r="C427" s="23"/>
      <c r="D427" s="24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8.75" customHeight="1" x14ac:dyDescent="0.2">
      <c r="A428" s="22"/>
      <c r="B428" s="16"/>
      <c r="C428" s="23"/>
      <c r="D428" s="24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8.75" customHeight="1" x14ac:dyDescent="0.2">
      <c r="A429" s="22"/>
      <c r="B429" s="16"/>
      <c r="C429" s="23"/>
      <c r="D429" s="24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8.75" customHeight="1" x14ac:dyDescent="0.2">
      <c r="A430" s="22"/>
      <c r="B430" s="16"/>
      <c r="C430" s="23"/>
      <c r="D430" s="24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8.75" customHeight="1" x14ac:dyDescent="0.2">
      <c r="A431" s="22"/>
      <c r="B431" s="16"/>
      <c r="C431" s="23"/>
      <c r="D431" s="24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8.75" customHeight="1" x14ac:dyDescent="0.2">
      <c r="A432" s="22"/>
      <c r="B432" s="16"/>
      <c r="C432" s="23"/>
      <c r="D432" s="24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8.75" customHeight="1" x14ac:dyDescent="0.2">
      <c r="A433" s="22"/>
      <c r="B433" s="16"/>
      <c r="C433" s="23"/>
      <c r="D433" s="24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8.75" customHeight="1" x14ac:dyDescent="0.2">
      <c r="A434" s="22"/>
      <c r="B434" s="16"/>
      <c r="C434" s="23"/>
      <c r="D434" s="24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8.75" customHeight="1" x14ac:dyDescent="0.2">
      <c r="A435" s="22"/>
      <c r="B435" s="16"/>
      <c r="C435" s="23"/>
      <c r="D435" s="24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8.75" customHeight="1" x14ac:dyDescent="0.2">
      <c r="A436" s="22"/>
      <c r="B436" s="16"/>
      <c r="C436" s="23"/>
      <c r="D436" s="24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8.75" customHeight="1" x14ac:dyDescent="0.2">
      <c r="A437" s="22"/>
      <c r="B437" s="16"/>
      <c r="C437" s="23"/>
      <c r="D437" s="24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8.75" customHeight="1" x14ac:dyDescent="0.2">
      <c r="A438" s="22"/>
      <c r="B438" s="16"/>
      <c r="C438" s="23"/>
      <c r="D438" s="24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8.75" customHeight="1" x14ac:dyDescent="0.2">
      <c r="A439" s="22"/>
      <c r="B439" s="16"/>
      <c r="C439" s="23"/>
      <c r="D439" s="2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8.75" customHeight="1" x14ac:dyDescent="0.2">
      <c r="A440" s="22"/>
      <c r="B440" s="16"/>
      <c r="C440" s="23"/>
      <c r="D440" s="24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8.75" customHeight="1" x14ac:dyDescent="0.2">
      <c r="A441" s="22"/>
      <c r="B441" s="16"/>
      <c r="C441" s="23"/>
      <c r="D441" s="24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8.75" customHeight="1" x14ac:dyDescent="0.2">
      <c r="A442" s="22"/>
      <c r="B442" s="16"/>
      <c r="C442" s="23"/>
      <c r="D442" s="24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8.75" customHeight="1" x14ac:dyDescent="0.2">
      <c r="A443" s="22"/>
      <c r="B443" s="16"/>
      <c r="C443" s="23"/>
      <c r="D443" s="24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8.75" customHeight="1" x14ac:dyDescent="0.2">
      <c r="A444" s="22"/>
      <c r="B444" s="16"/>
      <c r="C444" s="23"/>
      <c r="D444" s="24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8.75" customHeight="1" x14ac:dyDescent="0.2">
      <c r="A445" s="22"/>
      <c r="B445" s="16"/>
      <c r="C445" s="23"/>
      <c r="D445" s="24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8.75" customHeight="1" x14ac:dyDescent="0.2">
      <c r="A446" s="22"/>
      <c r="B446" s="16"/>
      <c r="C446" s="23"/>
      <c r="D446" s="24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8.75" customHeight="1" x14ac:dyDescent="0.2">
      <c r="A447" s="22"/>
      <c r="B447" s="16"/>
      <c r="C447" s="23"/>
      <c r="D447" s="24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8.75" customHeight="1" x14ac:dyDescent="0.2">
      <c r="A448" s="22"/>
      <c r="B448" s="16"/>
      <c r="C448" s="23"/>
      <c r="D448" s="2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8.75" customHeight="1" x14ac:dyDescent="0.2">
      <c r="A449" s="22"/>
      <c r="B449" s="16"/>
      <c r="C449" s="23"/>
      <c r="D449" s="24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8.75" customHeight="1" x14ac:dyDescent="0.2">
      <c r="A450" s="22"/>
      <c r="B450" s="16"/>
      <c r="C450" s="23"/>
      <c r="D450" s="24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8.75" customHeight="1" x14ac:dyDescent="0.2">
      <c r="A451" s="22"/>
      <c r="B451" s="16"/>
      <c r="C451" s="23"/>
      <c r="D451" s="24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8.75" customHeight="1" x14ac:dyDescent="0.2">
      <c r="A452" s="22"/>
      <c r="B452" s="16"/>
      <c r="C452" s="23"/>
      <c r="D452" s="24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8.75" customHeight="1" x14ac:dyDescent="0.2">
      <c r="A453" s="22"/>
      <c r="B453" s="16"/>
      <c r="C453" s="23"/>
      <c r="D453" s="24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8.75" customHeight="1" x14ac:dyDescent="0.2">
      <c r="A454" s="22"/>
      <c r="B454" s="16"/>
      <c r="C454" s="23"/>
      <c r="D454" s="24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8.75" customHeight="1" x14ac:dyDescent="0.2">
      <c r="A455" s="22"/>
      <c r="B455" s="16"/>
      <c r="C455" s="23"/>
      <c r="D455" s="24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8.75" customHeight="1" x14ac:dyDescent="0.2">
      <c r="A456" s="22"/>
      <c r="B456" s="16"/>
      <c r="C456" s="23"/>
      <c r="D456" s="24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8.75" customHeight="1" x14ac:dyDescent="0.2">
      <c r="A457" s="22"/>
      <c r="B457" s="16"/>
      <c r="C457" s="23"/>
      <c r="D457" s="24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8.75" customHeight="1" x14ac:dyDescent="0.2">
      <c r="A458" s="22"/>
      <c r="B458" s="16"/>
      <c r="C458" s="23"/>
      <c r="D458" s="24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8.75" customHeight="1" x14ac:dyDescent="0.2">
      <c r="A459" s="22"/>
      <c r="B459" s="16"/>
      <c r="C459" s="23"/>
      <c r="D459" s="24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8.75" customHeight="1" x14ac:dyDescent="0.2">
      <c r="A460" s="22"/>
      <c r="B460" s="16"/>
      <c r="C460" s="23"/>
      <c r="D460" s="24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8.75" customHeight="1" x14ac:dyDescent="0.2">
      <c r="A461" s="22"/>
      <c r="B461" s="16"/>
      <c r="C461" s="23"/>
      <c r="D461" s="24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8.75" customHeight="1" x14ac:dyDescent="0.2">
      <c r="A462" s="22"/>
      <c r="B462" s="16"/>
      <c r="C462" s="23"/>
      <c r="D462" s="24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8.75" customHeight="1" x14ac:dyDescent="0.2">
      <c r="A463" s="22"/>
      <c r="B463" s="16"/>
      <c r="C463" s="23"/>
      <c r="D463" s="24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8.75" customHeight="1" x14ac:dyDescent="0.2">
      <c r="A464" s="22"/>
      <c r="B464" s="16"/>
      <c r="C464" s="23"/>
      <c r="D464" s="24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8.75" customHeight="1" x14ac:dyDescent="0.2">
      <c r="A465" s="22"/>
      <c r="B465" s="16"/>
      <c r="C465" s="23"/>
      <c r="D465" s="24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8.75" customHeight="1" x14ac:dyDescent="0.2">
      <c r="A466" s="22"/>
      <c r="B466" s="16"/>
      <c r="C466" s="23"/>
      <c r="D466" s="24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8.75" customHeight="1" x14ac:dyDescent="0.2">
      <c r="A467" s="22"/>
      <c r="B467" s="16"/>
      <c r="C467" s="23"/>
      <c r="D467" s="24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8.75" customHeight="1" x14ac:dyDescent="0.2">
      <c r="A468" s="22"/>
      <c r="B468" s="16"/>
      <c r="C468" s="23"/>
      <c r="D468" s="24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8.75" customHeight="1" x14ac:dyDescent="0.2">
      <c r="A469" s="22"/>
      <c r="B469" s="16"/>
      <c r="C469" s="23"/>
      <c r="D469" s="24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8.75" customHeight="1" x14ac:dyDescent="0.2">
      <c r="A470" s="22"/>
      <c r="B470" s="16"/>
      <c r="C470" s="23"/>
      <c r="D470" s="24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8.75" customHeight="1" x14ac:dyDescent="0.2">
      <c r="A471" s="22"/>
      <c r="B471" s="16"/>
      <c r="C471" s="23"/>
      <c r="D471" s="24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8.75" customHeight="1" x14ac:dyDescent="0.2">
      <c r="A472" s="22"/>
      <c r="B472" s="16"/>
      <c r="C472" s="23"/>
      <c r="D472" s="24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8.75" customHeight="1" x14ac:dyDescent="0.2">
      <c r="A473" s="22"/>
      <c r="B473" s="16"/>
      <c r="C473" s="23"/>
      <c r="D473" s="24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8.75" customHeight="1" x14ac:dyDescent="0.2">
      <c r="A474" s="22"/>
      <c r="B474" s="16"/>
      <c r="C474" s="23"/>
      <c r="D474" s="24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8.75" customHeight="1" x14ac:dyDescent="0.2">
      <c r="A475" s="22"/>
      <c r="B475" s="16"/>
      <c r="C475" s="23"/>
      <c r="D475" s="24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8.75" customHeight="1" x14ac:dyDescent="0.2">
      <c r="A476" s="22"/>
      <c r="B476" s="16"/>
      <c r="C476" s="23"/>
      <c r="D476" s="24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8.75" customHeight="1" x14ac:dyDescent="0.2">
      <c r="A477" s="22"/>
      <c r="B477" s="16"/>
      <c r="C477" s="23"/>
      <c r="D477" s="2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8.75" customHeight="1" x14ac:dyDescent="0.2">
      <c r="A478" s="22"/>
      <c r="B478" s="16"/>
      <c r="C478" s="23"/>
      <c r="D478" s="2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8.75" customHeight="1" x14ac:dyDescent="0.2">
      <c r="A479" s="22"/>
      <c r="B479" s="16"/>
      <c r="C479" s="23"/>
      <c r="D479" s="2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8.75" customHeight="1" x14ac:dyDescent="0.2">
      <c r="A480" s="22"/>
      <c r="B480" s="16"/>
      <c r="C480" s="23"/>
      <c r="D480" s="24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8.75" customHeight="1" x14ac:dyDescent="0.2">
      <c r="A481" s="22"/>
      <c r="B481" s="16"/>
      <c r="C481" s="23"/>
      <c r="D481" s="24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8.75" customHeight="1" x14ac:dyDescent="0.2">
      <c r="A482" s="22"/>
      <c r="B482" s="16"/>
      <c r="C482" s="23"/>
      <c r="D482" s="24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8.75" customHeight="1" x14ac:dyDescent="0.2">
      <c r="A483" s="22"/>
      <c r="B483" s="16"/>
      <c r="C483" s="23"/>
      <c r="D483" s="24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8.75" customHeight="1" x14ac:dyDescent="0.2">
      <c r="A484" s="22"/>
      <c r="B484" s="16"/>
      <c r="C484" s="23"/>
      <c r="D484" s="24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8.75" customHeight="1" x14ac:dyDescent="0.2">
      <c r="A485" s="22"/>
      <c r="B485" s="16"/>
      <c r="C485" s="23"/>
      <c r="D485" s="24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8.75" customHeight="1" x14ac:dyDescent="0.2">
      <c r="A486" s="22"/>
      <c r="B486" s="16"/>
      <c r="C486" s="23"/>
      <c r="D486" s="24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8.75" customHeight="1" x14ac:dyDescent="0.2">
      <c r="A487" s="22"/>
      <c r="B487" s="16"/>
      <c r="C487" s="23"/>
      <c r="D487" s="24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8.75" customHeight="1" x14ac:dyDescent="0.2">
      <c r="A488" s="22"/>
      <c r="B488" s="16"/>
      <c r="C488" s="23"/>
      <c r="D488" s="24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8.75" customHeight="1" x14ac:dyDescent="0.2">
      <c r="A489" s="22"/>
      <c r="B489" s="16"/>
      <c r="C489" s="23"/>
      <c r="D489" s="24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8.75" customHeight="1" x14ac:dyDescent="0.2">
      <c r="A490" s="22"/>
      <c r="B490" s="16"/>
      <c r="C490" s="23"/>
      <c r="D490" s="24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8.75" customHeight="1" x14ac:dyDescent="0.2">
      <c r="A491" s="22"/>
      <c r="B491" s="16"/>
      <c r="C491" s="23"/>
      <c r="D491" s="24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8.75" customHeight="1" x14ac:dyDescent="0.2">
      <c r="A492" s="22"/>
      <c r="B492" s="16"/>
      <c r="C492" s="23"/>
      <c r="D492" s="24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8.75" customHeight="1" x14ac:dyDescent="0.2">
      <c r="A493" s="22"/>
      <c r="B493" s="16"/>
      <c r="C493" s="23"/>
      <c r="D493" s="24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8.75" customHeight="1" x14ac:dyDescent="0.2">
      <c r="A494" s="22"/>
      <c r="B494" s="16"/>
      <c r="C494" s="23"/>
      <c r="D494" s="24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8.75" customHeight="1" x14ac:dyDescent="0.2">
      <c r="A495" s="22"/>
      <c r="B495" s="16"/>
      <c r="C495" s="23"/>
      <c r="D495" s="24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8.75" customHeight="1" x14ac:dyDescent="0.2">
      <c r="A496" s="22"/>
      <c r="B496" s="16"/>
      <c r="C496" s="23"/>
      <c r="D496" s="24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8.75" customHeight="1" x14ac:dyDescent="0.2">
      <c r="A497" s="22"/>
      <c r="B497" s="16"/>
      <c r="C497" s="23"/>
      <c r="D497" s="24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8.75" customHeight="1" x14ac:dyDescent="0.2">
      <c r="A498" s="22"/>
      <c r="B498" s="16"/>
      <c r="C498" s="23"/>
      <c r="D498" s="24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8.75" customHeight="1" x14ac:dyDescent="0.2">
      <c r="A499" s="22"/>
      <c r="B499" s="16"/>
      <c r="C499" s="23"/>
      <c r="D499" s="24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8.75" customHeight="1" x14ac:dyDescent="0.2">
      <c r="A500" s="22"/>
      <c r="B500" s="16"/>
      <c r="C500" s="23"/>
      <c r="D500" s="24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8.75" customHeight="1" x14ac:dyDescent="0.2">
      <c r="A501" s="22"/>
      <c r="B501" s="16"/>
      <c r="C501" s="23"/>
      <c r="D501" s="24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8.75" customHeight="1" x14ac:dyDescent="0.2">
      <c r="A502" s="22"/>
      <c r="B502" s="16"/>
      <c r="C502" s="23"/>
      <c r="D502" s="2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8.75" customHeight="1" x14ac:dyDescent="0.2">
      <c r="A503" s="22"/>
      <c r="B503" s="16"/>
      <c r="C503" s="23"/>
      <c r="D503" s="24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8.75" customHeight="1" x14ac:dyDescent="0.2">
      <c r="A504" s="22"/>
      <c r="B504" s="16"/>
      <c r="C504" s="23"/>
      <c r="D504" s="24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8.75" customHeight="1" x14ac:dyDescent="0.2">
      <c r="A505" s="22"/>
      <c r="B505" s="16"/>
      <c r="C505" s="23"/>
      <c r="D505" s="2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8.75" customHeight="1" x14ac:dyDescent="0.2">
      <c r="A506" s="22"/>
      <c r="B506" s="16"/>
      <c r="C506" s="23"/>
      <c r="D506" s="24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8.75" customHeight="1" x14ac:dyDescent="0.2">
      <c r="A507" s="22"/>
      <c r="B507" s="16"/>
      <c r="C507" s="23"/>
      <c r="D507" s="24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8.75" customHeight="1" x14ac:dyDescent="0.2">
      <c r="A508" s="22"/>
      <c r="B508" s="16"/>
      <c r="C508" s="23"/>
      <c r="D508" s="24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8.75" customHeight="1" x14ac:dyDescent="0.2">
      <c r="A509" s="22"/>
      <c r="B509" s="16"/>
      <c r="C509" s="23"/>
      <c r="D509" s="24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8.75" customHeight="1" x14ac:dyDescent="0.2">
      <c r="A510" s="22"/>
      <c r="B510" s="16"/>
      <c r="C510" s="23"/>
      <c r="D510" s="24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8.75" customHeight="1" x14ac:dyDescent="0.2">
      <c r="A511" s="22"/>
      <c r="B511" s="16"/>
      <c r="C511" s="23"/>
      <c r="D511" s="24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8.75" customHeight="1" x14ac:dyDescent="0.2">
      <c r="A512" s="22"/>
      <c r="B512" s="16"/>
      <c r="C512" s="23"/>
      <c r="D512" s="24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8.75" customHeight="1" x14ac:dyDescent="0.2">
      <c r="A513" s="22"/>
      <c r="B513" s="16"/>
      <c r="C513" s="23"/>
      <c r="D513" s="24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8.75" customHeight="1" x14ac:dyDescent="0.2">
      <c r="A514" s="22"/>
      <c r="B514" s="16"/>
      <c r="C514" s="23"/>
      <c r="D514" s="24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8.75" customHeight="1" x14ac:dyDescent="0.2">
      <c r="A515" s="22"/>
      <c r="B515" s="16"/>
      <c r="C515" s="23"/>
      <c r="D515" s="24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8.75" customHeight="1" x14ac:dyDescent="0.2">
      <c r="A516" s="22"/>
      <c r="B516" s="16"/>
      <c r="C516" s="23"/>
      <c r="D516" s="24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8.75" customHeight="1" x14ac:dyDescent="0.2">
      <c r="A517" s="22"/>
      <c r="B517" s="16"/>
      <c r="C517" s="23"/>
      <c r="D517" s="24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8.75" customHeight="1" x14ac:dyDescent="0.2">
      <c r="A518" s="22"/>
      <c r="B518" s="16"/>
      <c r="C518" s="23"/>
      <c r="D518" s="24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8.75" customHeight="1" x14ac:dyDescent="0.2">
      <c r="A519" s="22"/>
      <c r="B519" s="16"/>
      <c r="C519" s="23"/>
      <c r="D519" s="24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8.75" customHeight="1" x14ac:dyDescent="0.2">
      <c r="A520" s="22"/>
      <c r="B520" s="16"/>
      <c r="C520" s="23"/>
      <c r="D520" s="24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8.75" customHeight="1" x14ac:dyDescent="0.2">
      <c r="A521" s="22"/>
      <c r="B521" s="16"/>
      <c r="C521" s="23"/>
      <c r="D521" s="24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8.75" customHeight="1" x14ac:dyDescent="0.2">
      <c r="A522" s="22"/>
      <c r="B522" s="16"/>
      <c r="C522" s="23"/>
      <c r="D522" s="24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8.75" customHeight="1" x14ac:dyDescent="0.2">
      <c r="A523" s="22"/>
      <c r="B523" s="16"/>
      <c r="C523" s="23"/>
      <c r="D523" s="24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8.75" customHeight="1" x14ac:dyDescent="0.2">
      <c r="A524" s="22"/>
      <c r="B524" s="16"/>
      <c r="C524" s="23"/>
      <c r="D524" s="2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8.75" customHeight="1" x14ac:dyDescent="0.2">
      <c r="A525" s="22"/>
      <c r="B525" s="16"/>
      <c r="C525" s="23"/>
      <c r="D525" s="24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8.75" customHeight="1" x14ac:dyDescent="0.2">
      <c r="A526" s="22"/>
      <c r="B526" s="16"/>
      <c r="C526" s="23"/>
      <c r="D526" s="24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8.75" customHeight="1" x14ac:dyDescent="0.2">
      <c r="A527" s="22"/>
      <c r="B527" s="16"/>
      <c r="C527" s="23"/>
      <c r="D527" s="24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8.75" customHeight="1" x14ac:dyDescent="0.2">
      <c r="A528" s="22"/>
      <c r="B528" s="16"/>
      <c r="C528" s="23"/>
      <c r="D528" s="24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8.75" customHeight="1" x14ac:dyDescent="0.2">
      <c r="A529" s="22"/>
      <c r="B529" s="16"/>
      <c r="C529" s="23"/>
      <c r="D529" s="24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8.75" customHeight="1" x14ac:dyDescent="0.2">
      <c r="A530" s="22"/>
      <c r="B530" s="16"/>
      <c r="C530" s="23"/>
      <c r="D530" s="2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8.75" customHeight="1" x14ac:dyDescent="0.2">
      <c r="A531" s="22"/>
      <c r="B531" s="16"/>
      <c r="C531" s="23"/>
      <c r="D531" s="2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8.75" customHeight="1" x14ac:dyDescent="0.2">
      <c r="A532" s="22"/>
      <c r="B532" s="16"/>
      <c r="C532" s="23"/>
      <c r="D532" s="2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8.75" customHeight="1" x14ac:dyDescent="0.2">
      <c r="A533" s="22"/>
      <c r="B533" s="16"/>
      <c r="C533" s="23"/>
      <c r="D533" s="2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8.75" customHeight="1" x14ac:dyDescent="0.2">
      <c r="A534" s="22"/>
      <c r="B534" s="16"/>
      <c r="C534" s="23"/>
      <c r="D534" s="24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8.75" customHeight="1" x14ac:dyDescent="0.2">
      <c r="A535" s="22"/>
      <c r="B535" s="16"/>
      <c r="C535" s="23"/>
      <c r="D535" s="24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8.75" customHeight="1" x14ac:dyDescent="0.2">
      <c r="A536" s="22"/>
      <c r="B536" s="16"/>
      <c r="C536" s="23"/>
      <c r="D536" s="24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8.75" customHeight="1" x14ac:dyDescent="0.2">
      <c r="A537" s="22"/>
      <c r="B537" s="16"/>
      <c r="C537" s="23"/>
      <c r="D537" s="24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8.75" customHeight="1" x14ac:dyDescent="0.2">
      <c r="A538" s="22"/>
      <c r="B538" s="16"/>
      <c r="C538" s="23"/>
      <c r="D538" s="2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8.75" customHeight="1" x14ac:dyDescent="0.2">
      <c r="A539" s="22"/>
      <c r="B539" s="16"/>
      <c r="C539" s="23"/>
      <c r="D539" s="24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8.75" customHeight="1" x14ac:dyDescent="0.2">
      <c r="A540" s="22"/>
      <c r="B540" s="16"/>
      <c r="C540" s="23"/>
      <c r="D540" s="24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8.75" customHeight="1" x14ac:dyDescent="0.2">
      <c r="A541" s="22"/>
      <c r="B541" s="16"/>
      <c r="C541" s="23"/>
      <c r="D541" s="24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8.75" customHeight="1" x14ac:dyDescent="0.2">
      <c r="A542" s="22"/>
      <c r="B542" s="16"/>
      <c r="C542" s="23"/>
      <c r="D542" s="24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8.75" customHeight="1" x14ac:dyDescent="0.2">
      <c r="A543" s="22"/>
      <c r="B543" s="16"/>
      <c r="C543" s="23"/>
      <c r="D543" s="24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8.75" customHeight="1" x14ac:dyDescent="0.2">
      <c r="A544" s="22"/>
      <c r="B544" s="16"/>
      <c r="C544" s="23"/>
      <c r="D544" s="24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8.75" customHeight="1" x14ac:dyDescent="0.2">
      <c r="A545" s="22"/>
      <c r="B545" s="16"/>
      <c r="C545" s="23"/>
      <c r="D545" s="24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8.75" customHeight="1" x14ac:dyDescent="0.2">
      <c r="A546" s="22"/>
      <c r="B546" s="16"/>
      <c r="C546" s="23"/>
      <c r="D546" s="24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8.75" customHeight="1" x14ac:dyDescent="0.2">
      <c r="A547" s="22"/>
      <c r="B547" s="16"/>
      <c r="C547" s="23"/>
      <c r="D547" s="2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8.75" customHeight="1" x14ac:dyDescent="0.2">
      <c r="A548" s="22"/>
      <c r="B548" s="16"/>
      <c r="C548" s="23"/>
      <c r="D548" s="24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8.75" customHeight="1" x14ac:dyDescent="0.2">
      <c r="A549" s="22"/>
      <c r="B549" s="16"/>
      <c r="C549" s="23"/>
      <c r="D549" s="24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8.75" customHeight="1" x14ac:dyDescent="0.2">
      <c r="A550" s="22"/>
      <c r="B550" s="16"/>
      <c r="C550" s="23"/>
      <c r="D550" s="24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8.75" customHeight="1" x14ac:dyDescent="0.2">
      <c r="A551" s="22"/>
      <c r="B551" s="16"/>
      <c r="C551" s="23"/>
      <c r="D551" s="24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8.75" customHeight="1" x14ac:dyDescent="0.2">
      <c r="A552" s="22"/>
      <c r="B552" s="16"/>
      <c r="C552" s="23"/>
      <c r="D552" s="24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8.75" customHeight="1" x14ac:dyDescent="0.2">
      <c r="A553" s="22"/>
      <c r="B553" s="16"/>
      <c r="C553" s="23"/>
      <c r="D553" s="24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8.75" customHeight="1" x14ac:dyDescent="0.2">
      <c r="A554" s="22"/>
      <c r="B554" s="16"/>
      <c r="C554" s="23"/>
      <c r="D554" s="24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8.75" customHeight="1" x14ac:dyDescent="0.2">
      <c r="A555" s="22"/>
      <c r="B555" s="16"/>
      <c r="C555" s="23"/>
      <c r="D555" s="24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8.75" customHeight="1" x14ac:dyDescent="0.2">
      <c r="A556" s="22"/>
      <c r="B556" s="16"/>
      <c r="C556" s="23"/>
      <c r="D556" s="24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8.75" customHeight="1" x14ac:dyDescent="0.2">
      <c r="A557" s="22"/>
      <c r="B557" s="16"/>
      <c r="C557" s="23"/>
      <c r="D557" s="24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8.75" customHeight="1" x14ac:dyDescent="0.2">
      <c r="A558" s="22"/>
      <c r="B558" s="16"/>
      <c r="C558" s="23"/>
      <c r="D558" s="24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8.75" customHeight="1" x14ac:dyDescent="0.2">
      <c r="A559" s="22"/>
      <c r="B559" s="16"/>
      <c r="C559" s="23"/>
      <c r="D559" s="24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8.75" customHeight="1" x14ac:dyDescent="0.2">
      <c r="A560" s="22"/>
      <c r="B560" s="16"/>
      <c r="C560" s="23"/>
      <c r="D560" s="24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8.75" customHeight="1" x14ac:dyDescent="0.2">
      <c r="A561" s="22"/>
      <c r="B561" s="16"/>
      <c r="C561" s="23"/>
      <c r="D561" s="24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8.75" customHeight="1" x14ac:dyDescent="0.2">
      <c r="A562" s="22"/>
      <c r="B562" s="16"/>
      <c r="C562" s="23"/>
      <c r="D562" s="24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8.75" customHeight="1" x14ac:dyDescent="0.2">
      <c r="A563" s="22"/>
      <c r="B563" s="16"/>
      <c r="C563" s="23"/>
      <c r="D563" s="24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8.75" customHeight="1" x14ac:dyDescent="0.2">
      <c r="A564" s="22"/>
      <c r="B564" s="16"/>
      <c r="C564" s="23"/>
      <c r="D564" s="24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8.75" customHeight="1" x14ac:dyDescent="0.2">
      <c r="A565" s="22"/>
      <c r="B565" s="16"/>
      <c r="C565" s="23"/>
      <c r="D565" s="24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8.75" customHeight="1" x14ac:dyDescent="0.2">
      <c r="A566" s="22"/>
      <c r="B566" s="16"/>
      <c r="C566" s="23"/>
      <c r="D566" s="24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8.75" customHeight="1" x14ac:dyDescent="0.2">
      <c r="A567" s="22"/>
      <c r="B567" s="16"/>
      <c r="C567" s="23"/>
      <c r="D567" s="24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8.75" customHeight="1" x14ac:dyDescent="0.2">
      <c r="A568" s="22"/>
      <c r="B568" s="16"/>
      <c r="C568" s="23"/>
      <c r="D568" s="24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8.75" customHeight="1" x14ac:dyDescent="0.2">
      <c r="A569" s="22"/>
      <c r="B569" s="16"/>
      <c r="C569" s="23"/>
      <c r="D569" s="24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8.75" customHeight="1" x14ac:dyDescent="0.2">
      <c r="A570" s="22"/>
      <c r="B570" s="16"/>
      <c r="C570" s="23"/>
      <c r="D570" s="24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8.75" customHeight="1" x14ac:dyDescent="0.2">
      <c r="A571" s="22"/>
      <c r="B571" s="16"/>
      <c r="C571" s="23"/>
      <c r="D571" s="24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8.75" customHeight="1" x14ac:dyDescent="0.2">
      <c r="A572" s="22"/>
      <c r="B572" s="16"/>
      <c r="C572" s="23"/>
      <c r="D572" s="24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8.75" customHeight="1" x14ac:dyDescent="0.2">
      <c r="A573" s="22"/>
      <c r="B573" s="16"/>
      <c r="C573" s="23"/>
      <c r="D573" s="24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8.75" customHeight="1" x14ac:dyDescent="0.2">
      <c r="A574" s="22"/>
      <c r="B574" s="16"/>
      <c r="C574" s="23"/>
      <c r="D574" s="24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8.75" customHeight="1" x14ac:dyDescent="0.2">
      <c r="A575" s="22"/>
      <c r="B575" s="16"/>
      <c r="C575" s="23"/>
      <c r="D575" s="24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8.75" customHeight="1" x14ac:dyDescent="0.2">
      <c r="A576" s="22"/>
      <c r="B576" s="16"/>
      <c r="C576" s="23"/>
      <c r="D576" s="24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8.75" customHeight="1" x14ac:dyDescent="0.2">
      <c r="A577" s="22"/>
      <c r="B577" s="16"/>
      <c r="C577" s="23"/>
      <c r="D577" s="24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8.75" customHeight="1" x14ac:dyDescent="0.2">
      <c r="A578" s="22"/>
      <c r="B578" s="16"/>
      <c r="C578" s="23"/>
      <c r="D578" s="24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8.75" customHeight="1" x14ac:dyDescent="0.2">
      <c r="A579" s="22"/>
      <c r="B579" s="16"/>
      <c r="C579" s="23"/>
      <c r="D579" s="24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8.75" customHeight="1" x14ac:dyDescent="0.2">
      <c r="A580" s="22"/>
      <c r="B580" s="16"/>
      <c r="C580" s="23"/>
      <c r="D580" s="24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8.75" customHeight="1" x14ac:dyDescent="0.2">
      <c r="A581" s="22"/>
      <c r="B581" s="16"/>
      <c r="C581" s="23"/>
      <c r="D581" s="24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8.75" customHeight="1" x14ac:dyDescent="0.2">
      <c r="A582" s="22"/>
      <c r="B582" s="16"/>
      <c r="C582" s="23"/>
      <c r="D582" s="24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8.75" customHeight="1" x14ac:dyDescent="0.2">
      <c r="A583" s="22"/>
      <c r="B583" s="16"/>
      <c r="C583" s="23"/>
      <c r="D583" s="24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8.75" customHeight="1" x14ac:dyDescent="0.2">
      <c r="A584" s="22"/>
      <c r="B584" s="16"/>
      <c r="C584" s="23"/>
      <c r="D584" s="24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8.75" customHeight="1" x14ac:dyDescent="0.2">
      <c r="A585" s="22"/>
      <c r="B585" s="16"/>
      <c r="C585" s="23"/>
      <c r="D585" s="24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8.75" customHeight="1" x14ac:dyDescent="0.2">
      <c r="A586" s="22"/>
      <c r="B586" s="16"/>
      <c r="C586" s="23"/>
      <c r="D586" s="24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8.75" customHeight="1" x14ac:dyDescent="0.2">
      <c r="A587" s="22"/>
      <c r="B587" s="16"/>
      <c r="C587" s="23"/>
      <c r="D587" s="24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8.75" customHeight="1" x14ac:dyDescent="0.2">
      <c r="A588" s="22"/>
      <c r="B588" s="16"/>
      <c r="C588" s="23"/>
      <c r="D588" s="24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8.75" customHeight="1" x14ac:dyDescent="0.2">
      <c r="A589" s="22"/>
      <c r="B589" s="16"/>
      <c r="C589" s="23"/>
      <c r="D589" s="24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8.75" customHeight="1" x14ac:dyDescent="0.2">
      <c r="A590" s="22"/>
      <c r="B590" s="16"/>
      <c r="C590" s="23"/>
      <c r="D590" s="24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8.75" customHeight="1" x14ac:dyDescent="0.2">
      <c r="A591" s="22"/>
      <c r="B591" s="16"/>
      <c r="C591" s="23"/>
      <c r="D591" s="24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8.75" customHeight="1" x14ac:dyDescent="0.2">
      <c r="A592" s="22"/>
      <c r="B592" s="16"/>
      <c r="C592" s="23"/>
      <c r="D592" s="24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8.75" customHeight="1" x14ac:dyDescent="0.2">
      <c r="A593" s="22"/>
      <c r="B593" s="16"/>
      <c r="C593" s="23"/>
      <c r="D593" s="24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8.75" customHeight="1" x14ac:dyDescent="0.2">
      <c r="A594" s="22"/>
      <c r="B594" s="16"/>
      <c r="C594" s="23"/>
      <c r="D594" s="24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8.75" customHeight="1" x14ac:dyDescent="0.2">
      <c r="A595" s="22"/>
      <c r="B595" s="16"/>
      <c r="C595" s="23"/>
      <c r="D595" s="24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8.75" customHeight="1" x14ac:dyDescent="0.2">
      <c r="A596" s="22"/>
      <c r="B596" s="16"/>
      <c r="C596" s="23"/>
      <c r="D596" s="24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8.75" customHeight="1" x14ac:dyDescent="0.2">
      <c r="A597" s="22"/>
      <c r="B597" s="16"/>
      <c r="C597" s="23"/>
      <c r="D597" s="24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8.75" customHeight="1" x14ac:dyDescent="0.2">
      <c r="A598" s="22"/>
      <c r="B598" s="16"/>
      <c r="C598" s="23"/>
      <c r="D598" s="24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8.75" customHeight="1" x14ac:dyDescent="0.2">
      <c r="A599" s="22"/>
      <c r="B599" s="16"/>
      <c r="C599" s="23"/>
      <c r="D599" s="24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8.75" customHeight="1" x14ac:dyDescent="0.2">
      <c r="A600" s="22"/>
      <c r="B600" s="16"/>
      <c r="C600" s="23"/>
      <c r="D600" s="24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8.75" customHeight="1" x14ac:dyDescent="0.2">
      <c r="A601" s="22"/>
      <c r="B601" s="16"/>
      <c r="C601" s="23"/>
      <c r="D601" s="2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8.75" customHeight="1" x14ac:dyDescent="0.2">
      <c r="A602" s="22"/>
      <c r="B602" s="16"/>
      <c r="C602" s="23"/>
      <c r="D602" s="24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8.75" customHeight="1" x14ac:dyDescent="0.2">
      <c r="A603" s="22"/>
      <c r="B603" s="16"/>
      <c r="C603" s="23"/>
      <c r="D603" s="24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8.75" customHeight="1" x14ac:dyDescent="0.2">
      <c r="A604" s="22"/>
      <c r="B604" s="16"/>
      <c r="C604" s="23"/>
      <c r="D604" s="24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8.75" customHeight="1" x14ac:dyDescent="0.2">
      <c r="A605" s="22"/>
      <c r="B605" s="16"/>
      <c r="C605" s="23"/>
      <c r="D605" s="24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8.75" customHeight="1" x14ac:dyDescent="0.2">
      <c r="A606" s="22"/>
      <c r="B606" s="16"/>
      <c r="C606" s="23"/>
      <c r="D606" s="24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8.75" customHeight="1" x14ac:dyDescent="0.2">
      <c r="A607" s="22"/>
      <c r="B607" s="16"/>
      <c r="C607" s="23"/>
      <c r="D607" s="24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8.75" customHeight="1" x14ac:dyDescent="0.2">
      <c r="A608" s="22"/>
      <c r="B608" s="16"/>
      <c r="C608" s="23"/>
      <c r="D608" s="24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8.75" customHeight="1" x14ac:dyDescent="0.2">
      <c r="A609" s="22"/>
      <c r="B609" s="16"/>
      <c r="C609" s="23"/>
      <c r="D609" s="24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8.75" customHeight="1" x14ac:dyDescent="0.2">
      <c r="A610" s="22"/>
      <c r="B610" s="16"/>
      <c r="C610" s="23"/>
      <c r="D610" s="24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8.75" customHeight="1" x14ac:dyDescent="0.2">
      <c r="A611" s="22"/>
      <c r="B611" s="16"/>
      <c r="C611" s="23"/>
      <c r="D611" s="24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8.75" customHeight="1" x14ac:dyDescent="0.2">
      <c r="A612" s="22"/>
      <c r="B612" s="16"/>
      <c r="C612" s="23"/>
      <c r="D612" s="24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8.75" customHeight="1" x14ac:dyDescent="0.2">
      <c r="A613" s="22"/>
      <c r="B613" s="16"/>
      <c r="C613" s="23"/>
      <c r="D613" s="24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8.75" customHeight="1" x14ac:dyDescent="0.2">
      <c r="A614" s="22"/>
      <c r="B614" s="16"/>
      <c r="C614" s="23"/>
      <c r="D614" s="24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8.75" customHeight="1" x14ac:dyDescent="0.2">
      <c r="A615" s="22"/>
      <c r="B615" s="16"/>
      <c r="C615" s="23"/>
      <c r="D615" s="24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8.75" customHeight="1" x14ac:dyDescent="0.2">
      <c r="A616" s="22"/>
      <c r="B616" s="16"/>
      <c r="C616" s="23"/>
      <c r="D616" s="24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8.75" customHeight="1" x14ac:dyDescent="0.2">
      <c r="A617" s="22"/>
      <c r="B617" s="16"/>
      <c r="C617" s="23"/>
      <c r="D617" s="24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8.75" customHeight="1" x14ac:dyDescent="0.2">
      <c r="A618" s="22"/>
      <c r="B618" s="16"/>
      <c r="C618" s="23"/>
      <c r="D618" s="24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8.75" customHeight="1" x14ac:dyDescent="0.2">
      <c r="A619" s="22"/>
      <c r="B619" s="16"/>
      <c r="C619" s="23"/>
      <c r="D619" s="24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8.75" customHeight="1" x14ac:dyDescent="0.2">
      <c r="A620" s="22"/>
      <c r="B620" s="16"/>
      <c r="C620" s="23"/>
      <c r="D620" s="24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8.75" customHeight="1" x14ac:dyDescent="0.2">
      <c r="A621" s="22"/>
      <c r="B621" s="16"/>
      <c r="C621" s="23"/>
      <c r="D621" s="24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8.75" customHeight="1" x14ac:dyDescent="0.2">
      <c r="A622" s="22"/>
      <c r="B622" s="16"/>
      <c r="C622" s="23"/>
      <c r="D622" s="24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8.75" customHeight="1" x14ac:dyDescent="0.2">
      <c r="A623" s="22"/>
      <c r="B623" s="16"/>
      <c r="C623" s="23"/>
      <c r="D623" s="24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8.75" customHeight="1" x14ac:dyDescent="0.2">
      <c r="A624" s="22"/>
      <c r="B624" s="16"/>
      <c r="C624" s="23"/>
      <c r="D624" s="24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8.75" customHeight="1" x14ac:dyDescent="0.2">
      <c r="A625" s="22"/>
      <c r="B625" s="16"/>
      <c r="C625" s="23"/>
      <c r="D625" s="24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8.75" customHeight="1" x14ac:dyDescent="0.2">
      <c r="A626" s="22"/>
      <c r="B626" s="16"/>
      <c r="C626" s="23"/>
      <c r="D626" s="24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8.75" customHeight="1" x14ac:dyDescent="0.2">
      <c r="A627" s="22"/>
      <c r="B627" s="16"/>
      <c r="C627" s="23"/>
      <c r="D627" s="24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8.75" customHeight="1" x14ac:dyDescent="0.2">
      <c r="A628" s="22"/>
      <c r="B628" s="16"/>
      <c r="C628" s="23"/>
      <c r="D628" s="24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8.75" customHeight="1" x14ac:dyDescent="0.2">
      <c r="A629" s="22"/>
      <c r="B629" s="16"/>
      <c r="C629" s="23"/>
      <c r="D629" s="24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8.75" customHeight="1" x14ac:dyDescent="0.2">
      <c r="A630" s="22"/>
      <c r="B630" s="16"/>
      <c r="C630" s="23"/>
      <c r="D630" s="24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8.75" customHeight="1" x14ac:dyDescent="0.2">
      <c r="A631" s="22"/>
      <c r="B631" s="16"/>
      <c r="C631" s="23"/>
      <c r="D631" s="24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8.75" customHeight="1" x14ac:dyDescent="0.2">
      <c r="A632" s="22"/>
      <c r="B632" s="16"/>
      <c r="C632" s="23"/>
      <c r="D632" s="24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8.75" customHeight="1" x14ac:dyDescent="0.2">
      <c r="A633" s="22"/>
      <c r="B633" s="16"/>
      <c r="C633" s="23"/>
      <c r="D633" s="24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8.75" customHeight="1" x14ac:dyDescent="0.2">
      <c r="A634" s="22"/>
      <c r="B634" s="16"/>
      <c r="C634" s="23"/>
      <c r="D634" s="24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8.75" customHeight="1" x14ac:dyDescent="0.2">
      <c r="A635" s="22"/>
      <c r="B635" s="16"/>
      <c r="C635" s="23"/>
      <c r="D635" s="24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8.75" customHeight="1" x14ac:dyDescent="0.2">
      <c r="A636" s="22"/>
      <c r="B636" s="16"/>
      <c r="C636" s="23"/>
      <c r="D636" s="24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8.75" customHeight="1" x14ac:dyDescent="0.2">
      <c r="A637" s="22"/>
      <c r="B637" s="16"/>
      <c r="C637" s="23"/>
      <c r="D637" s="24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8.75" customHeight="1" x14ac:dyDescent="0.2">
      <c r="A638" s="22"/>
      <c r="B638" s="16"/>
      <c r="C638" s="23"/>
      <c r="D638" s="24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8.75" customHeight="1" x14ac:dyDescent="0.2">
      <c r="A639" s="22"/>
      <c r="B639" s="16"/>
      <c r="C639" s="23"/>
      <c r="D639" s="24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8.75" customHeight="1" x14ac:dyDescent="0.2">
      <c r="A640" s="22"/>
      <c r="B640" s="16"/>
      <c r="C640" s="23"/>
      <c r="D640" s="24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8.75" customHeight="1" x14ac:dyDescent="0.2">
      <c r="A641" s="22"/>
      <c r="B641" s="16"/>
      <c r="C641" s="23"/>
      <c r="D641" s="24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8.75" customHeight="1" x14ac:dyDescent="0.2">
      <c r="A642" s="22"/>
      <c r="B642" s="16"/>
      <c r="C642" s="23"/>
      <c r="D642" s="24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8.75" customHeight="1" x14ac:dyDescent="0.2">
      <c r="A643" s="22"/>
      <c r="B643" s="16"/>
      <c r="C643" s="23"/>
      <c r="D643" s="24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8.75" customHeight="1" x14ac:dyDescent="0.2">
      <c r="A644" s="22"/>
      <c r="B644" s="16"/>
      <c r="C644" s="23"/>
      <c r="D644" s="24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8.75" customHeight="1" x14ac:dyDescent="0.2">
      <c r="A645" s="22"/>
      <c r="B645" s="16"/>
      <c r="C645" s="23"/>
      <c r="D645" s="24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8.75" customHeight="1" x14ac:dyDescent="0.2">
      <c r="A646" s="22"/>
      <c r="B646" s="16"/>
      <c r="C646" s="23"/>
      <c r="D646" s="24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8.75" customHeight="1" x14ac:dyDescent="0.2">
      <c r="A647" s="22"/>
      <c r="B647" s="16"/>
      <c r="C647" s="23"/>
      <c r="D647" s="24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8.75" customHeight="1" x14ac:dyDescent="0.2">
      <c r="A648" s="22"/>
      <c r="B648" s="16"/>
      <c r="C648" s="23"/>
      <c r="D648" s="24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8.75" customHeight="1" x14ac:dyDescent="0.2">
      <c r="A649" s="22"/>
      <c r="B649" s="16"/>
      <c r="C649" s="23"/>
      <c r="D649" s="24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8.75" customHeight="1" x14ac:dyDescent="0.2">
      <c r="A650" s="22"/>
      <c r="B650" s="16"/>
      <c r="C650" s="23"/>
      <c r="D650" s="24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8.75" customHeight="1" x14ac:dyDescent="0.2">
      <c r="A651" s="22"/>
      <c r="B651" s="16"/>
      <c r="C651" s="23"/>
      <c r="D651" s="24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8.75" customHeight="1" x14ac:dyDescent="0.2">
      <c r="A652" s="22"/>
      <c r="B652" s="16"/>
      <c r="C652" s="23"/>
      <c r="D652" s="24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8.75" customHeight="1" x14ac:dyDescent="0.2">
      <c r="A653" s="22"/>
      <c r="B653" s="16"/>
      <c r="C653" s="23"/>
      <c r="D653" s="24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8.75" customHeight="1" x14ac:dyDescent="0.2">
      <c r="A654" s="22"/>
      <c r="B654" s="16"/>
      <c r="C654" s="23"/>
      <c r="D654" s="24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8.75" customHeight="1" x14ac:dyDescent="0.2">
      <c r="A655" s="22"/>
      <c r="B655" s="16"/>
      <c r="C655" s="23"/>
      <c r="D655" s="24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8.75" customHeight="1" x14ac:dyDescent="0.2">
      <c r="A656" s="22"/>
      <c r="B656" s="16"/>
      <c r="C656" s="23"/>
      <c r="D656" s="24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8.75" customHeight="1" x14ac:dyDescent="0.2">
      <c r="A657" s="22"/>
      <c r="B657" s="16"/>
      <c r="C657" s="23"/>
      <c r="D657" s="24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8.75" customHeight="1" x14ac:dyDescent="0.2">
      <c r="A658" s="22"/>
      <c r="B658" s="16"/>
      <c r="C658" s="23"/>
      <c r="D658" s="24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8.75" customHeight="1" x14ac:dyDescent="0.2">
      <c r="A659" s="22"/>
      <c r="B659" s="16"/>
      <c r="C659" s="23"/>
      <c r="D659" s="24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8.75" customHeight="1" x14ac:dyDescent="0.2">
      <c r="A660" s="22"/>
      <c r="B660" s="16"/>
      <c r="C660" s="23"/>
      <c r="D660" s="24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8.75" customHeight="1" x14ac:dyDescent="0.2">
      <c r="A661" s="22"/>
      <c r="B661" s="16"/>
      <c r="C661" s="23"/>
      <c r="D661" s="24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8.75" customHeight="1" x14ac:dyDescent="0.2">
      <c r="A662" s="22"/>
      <c r="B662" s="16"/>
      <c r="C662" s="23"/>
      <c r="D662" s="24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8.75" customHeight="1" x14ac:dyDescent="0.2">
      <c r="A663" s="22"/>
      <c r="B663" s="16"/>
      <c r="C663" s="23"/>
      <c r="D663" s="24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8.75" customHeight="1" x14ac:dyDescent="0.2">
      <c r="A664" s="22"/>
      <c r="B664" s="16"/>
      <c r="C664" s="23"/>
      <c r="D664" s="24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8.75" customHeight="1" x14ac:dyDescent="0.2">
      <c r="A665" s="22"/>
      <c r="B665" s="16"/>
      <c r="C665" s="23"/>
      <c r="D665" s="24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8.75" customHeight="1" x14ac:dyDescent="0.2">
      <c r="A666" s="22"/>
      <c r="B666" s="16"/>
      <c r="C666" s="23"/>
      <c r="D666" s="24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8.75" customHeight="1" x14ac:dyDescent="0.2">
      <c r="A667" s="22"/>
      <c r="B667" s="16"/>
      <c r="C667" s="23"/>
      <c r="D667" s="24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8.75" customHeight="1" x14ac:dyDescent="0.2">
      <c r="A668" s="22"/>
      <c r="B668" s="16"/>
      <c r="C668" s="23"/>
      <c r="D668" s="24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8.75" customHeight="1" x14ac:dyDescent="0.2">
      <c r="A669" s="22"/>
      <c r="B669" s="16"/>
      <c r="C669" s="23"/>
      <c r="D669" s="24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8.75" customHeight="1" x14ac:dyDescent="0.2">
      <c r="A670" s="22"/>
      <c r="B670" s="16"/>
      <c r="C670" s="23"/>
      <c r="D670" s="24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8.75" customHeight="1" x14ac:dyDescent="0.2">
      <c r="A671" s="22"/>
      <c r="B671" s="16"/>
      <c r="C671" s="23"/>
      <c r="D671" s="24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8.75" customHeight="1" x14ac:dyDescent="0.2">
      <c r="A672" s="22"/>
      <c r="B672" s="16"/>
      <c r="C672" s="23"/>
      <c r="D672" s="24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8.75" customHeight="1" x14ac:dyDescent="0.2">
      <c r="A673" s="22"/>
      <c r="B673" s="16"/>
      <c r="C673" s="23"/>
      <c r="D673" s="24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8.75" customHeight="1" x14ac:dyDescent="0.2">
      <c r="A674" s="22"/>
      <c r="B674" s="16"/>
      <c r="C674" s="23"/>
      <c r="D674" s="24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8.75" customHeight="1" x14ac:dyDescent="0.2">
      <c r="A675" s="22"/>
      <c r="B675" s="16"/>
      <c r="C675" s="23"/>
      <c r="D675" s="24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8.75" customHeight="1" x14ac:dyDescent="0.2">
      <c r="A676" s="22"/>
      <c r="B676" s="16"/>
      <c r="C676" s="23"/>
      <c r="D676" s="24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8.75" customHeight="1" x14ac:dyDescent="0.2">
      <c r="A677" s="22"/>
      <c r="B677" s="16"/>
      <c r="C677" s="23"/>
      <c r="D677" s="24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8.75" customHeight="1" x14ac:dyDescent="0.2">
      <c r="A678" s="22"/>
      <c r="B678" s="16"/>
      <c r="C678" s="23"/>
      <c r="D678" s="24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8.75" customHeight="1" x14ac:dyDescent="0.2">
      <c r="A679" s="22"/>
      <c r="B679" s="16"/>
      <c r="C679" s="23"/>
      <c r="D679" s="24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8.75" customHeight="1" x14ac:dyDescent="0.2">
      <c r="A680" s="22"/>
      <c r="B680" s="16"/>
      <c r="C680" s="23"/>
      <c r="D680" s="24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8.75" customHeight="1" x14ac:dyDescent="0.2">
      <c r="A681" s="22"/>
      <c r="B681" s="16"/>
      <c r="C681" s="23"/>
      <c r="D681" s="24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8.75" customHeight="1" x14ac:dyDescent="0.2">
      <c r="A682" s="22"/>
      <c r="B682" s="16"/>
      <c r="C682" s="23"/>
      <c r="D682" s="24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8.75" customHeight="1" x14ac:dyDescent="0.2">
      <c r="A683" s="22"/>
      <c r="B683" s="16"/>
      <c r="C683" s="23"/>
      <c r="D683" s="24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8.75" customHeight="1" x14ac:dyDescent="0.2">
      <c r="A684" s="22"/>
      <c r="B684" s="16"/>
      <c r="C684" s="23"/>
      <c r="D684" s="24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8.75" customHeight="1" x14ac:dyDescent="0.2">
      <c r="A685" s="22"/>
      <c r="B685" s="16"/>
      <c r="C685" s="23"/>
      <c r="D685" s="24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8.75" customHeight="1" x14ac:dyDescent="0.2">
      <c r="A686" s="22"/>
      <c r="B686" s="16"/>
      <c r="C686" s="23"/>
      <c r="D686" s="24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8.75" customHeight="1" x14ac:dyDescent="0.2">
      <c r="A687" s="22"/>
      <c r="B687" s="16"/>
      <c r="C687" s="23"/>
      <c r="D687" s="24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8.75" customHeight="1" x14ac:dyDescent="0.2">
      <c r="A688" s="22"/>
      <c r="B688" s="16"/>
      <c r="C688" s="23"/>
      <c r="D688" s="24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8.75" customHeight="1" x14ac:dyDescent="0.2">
      <c r="A689" s="22"/>
      <c r="B689" s="16"/>
      <c r="C689" s="23"/>
      <c r="D689" s="24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8.75" customHeight="1" x14ac:dyDescent="0.2">
      <c r="A690" s="22"/>
      <c r="B690" s="16"/>
      <c r="C690" s="23"/>
      <c r="D690" s="24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8.75" customHeight="1" x14ac:dyDescent="0.2">
      <c r="A691" s="22"/>
      <c r="B691" s="16"/>
      <c r="C691" s="23"/>
      <c r="D691" s="24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8.75" customHeight="1" x14ac:dyDescent="0.2">
      <c r="A692" s="22"/>
      <c r="B692" s="16"/>
      <c r="C692" s="23"/>
      <c r="D692" s="24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8.75" customHeight="1" x14ac:dyDescent="0.2">
      <c r="A693" s="22"/>
      <c r="B693" s="16"/>
      <c r="C693" s="23"/>
      <c r="D693" s="24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8.75" customHeight="1" x14ac:dyDescent="0.2">
      <c r="A694" s="22"/>
      <c r="B694" s="16"/>
      <c r="C694" s="23"/>
      <c r="D694" s="24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8.75" customHeight="1" x14ac:dyDescent="0.2">
      <c r="A695" s="22"/>
      <c r="B695" s="16"/>
      <c r="C695" s="23"/>
      <c r="D695" s="24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8.75" customHeight="1" x14ac:dyDescent="0.2">
      <c r="A696" s="22"/>
      <c r="B696" s="16"/>
      <c r="C696" s="23"/>
      <c r="D696" s="24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8.75" customHeight="1" x14ac:dyDescent="0.2">
      <c r="A697" s="22"/>
      <c r="B697" s="16"/>
      <c r="C697" s="23"/>
      <c r="D697" s="24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8.75" customHeight="1" x14ac:dyDescent="0.2">
      <c r="A698" s="22"/>
      <c r="B698" s="16"/>
      <c r="C698" s="23"/>
      <c r="D698" s="24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8.75" customHeight="1" x14ac:dyDescent="0.2">
      <c r="A699" s="22"/>
      <c r="B699" s="16"/>
      <c r="C699" s="23"/>
      <c r="D699" s="24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8.75" customHeight="1" x14ac:dyDescent="0.2">
      <c r="A700" s="22"/>
      <c r="B700" s="16"/>
      <c r="C700" s="23"/>
      <c r="D700" s="24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8.75" customHeight="1" x14ac:dyDescent="0.2">
      <c r="A701" s="22"/>
      <c r="B701" s="16"/>
      <c r="C701" s="23"/>
      <c r="D701" s="24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8.75" customHeight="1" x14ac:dyDescent="0.2">
      <c r="A702" s="22"/>
      <c r="B702" s="16"/>
      <c r="C702" s="23"/>
      <c r="D702" s="24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8.75" customHeight="1" x14ac:dyDescent="0.2">
      <c r="A703" s="22"/>
      <c r="B703" s="16"/>
      <c r="C703" s="23"/>
      <c r="D703" s="24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8.75" customHeight="1" x14ac:dyDescent="0.2">
      <c r="A704" s="22"/>
      <c r="B704" s="16"/>
      <c r="C704" s="23"/>
      <c r="D704" s="24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8.75" customHeight="1" x14ac:dyDescent="0.2">
      <c r="A705" s="22"/>
      <c r="B705" s="16"/>
      <c r="C705" s="23"/>
      <c r="D705" s="24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8.75" customHeight="1" x14ac:dyDescent="0.2">
      <c r="A706" s="22"/>
      <c r="B706" s="16"/>
      <c r="C706" s="23"/>
      <c r="D706" s="24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8.75" customHeight="1" x14ac:dyDescent="0.2">
      <c r="A707" s="22"/>
      <c r="B707" s="16"/>
      <c r="C707" s="23"/>
      <c r="D707" s="24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8.75" customHeight="1" x14ac:dyDescent="0.2">
      <c r="A708" s="22"/>
      <c r="B708" s="16"/>
      <c r="C708" s="23"/>
      <c r="D708" s="24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8.75" customHeight="1" x14ac:dyDescent="0.2">
      <c r="A709" s="22"/>
      <c r="B709" s="16"/>
      <c r="C709" s="23"/>
      <c r="D709" s="24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8.75" customHeight="1" x14ac:dyDescent="0.2">
      <c r="A710" s="22"/>
      <c r="B710" s="16"/>
      <c r="C710" s="23"/>
      <c r="D710" s="24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8.75" customHeight="1" x14ac:dyDescent="0.2">
      <c r="A711" s="22"/>
      <c r="B711" s="16"/>
      <c r="C711" s="23"/>
      <c r="D711" s="24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8.75" customHeight="1" x14ac:dyDescent="0.2">
      <c r="A712" s="22"/>
      <c r="B712" s="16"/>
      <c r="C712" s="23"/>
      <c r="D712" s="24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8.75" customHeight="1" x14ac:dyDescent="0.2">
      <c r="A713" s="22"/>
      <c r="B713" s="16"/>
      <c r="C713" s="23"/>
      <c r="D713" s="24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8.75" customHeight="1" x14ac:dyDescent="0.2">
      <c r="A714" s="22"/>
      <c r="B714" s="16"/>
      <c r="C714" s="23"/>
      <c r="D714" s="24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8.75" customHeight="1" x14ac:dyDescent="0.2">
      <c r="A715" s="22"/>
      <c r="B715" s="16"/>
      <c r="C715" s="23"/>
      <c r="D715" s="24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8.75" customHeight="1" x14ac:dyDescent="0.2">
      <c r="A716" s="22"/>
      <c r="B716" s="16"/>
      <c r="C716" s="23"/>
      <c r="D716" s="24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8.75" customHeight="1" x14ac:dyDescent="0.2">
      <c r="A717" s="22"/>
      <c r="B717" s="16"/>
      <c r="C717" s="23"/>
      <c r="D717" s="24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8.75" customHeight="1" x14ac:dyDescent="0.2">
      <c r="A718" s="22"/>
      <c r="B718" s="16"/>
      <c r="C718" s="23"/>
      <c r="D718" s="24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8.75" customHeight="1" x14ac:dyDescent="0.2">
      <c r="A719" s="22"/>
      <c r="B719" s="16"/>
      <c r="C719" s="23"/>
      <c r="D719" s="24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8.75" customHeight="1" x14ac:dyDescent="0.2">
      <c r="A720" s="22"/>
      <c r="B720" s="16"/>
      <c r="C720" s="23"/>
      <c r="D720" s="24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8.75" customHeight="1" x14ac:dyDescent="0.2">
      <c r="A721" s="22"/>
      <c r="B721" s="16"/>
      <c r="C721" s="23"/>
      <c r="D721" s="24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8.75" customHeight="1" x14ac:dyDescent="0.2">
      <c r="A722" s="22"/>
      <c r="B722" s="16"/>
      <c r="C722" s="23"/>
      <c r="D722" s="24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8.75" customHeight="1" x14ac:dyDescent="0.2">
      <c r="A723" s="22"/>
      <c r="B723" s="16"/>
      <c r="C723" s="23"/>
      <c r="D723" s="24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8.75" customHeight="1" x14ac:dyDescent="0.2">
      <c r="A724" s="22"/>
      <c r="B724" s="16"/>
      <c r="C724" s="23"/>
      <c r="D724" s="24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8.75" customHeight="1" x14ac:dyDescent="0.2">
      <c r="A725" s="22"/>
      <c r="B725" s="16"/>
      <c r="C725" s="23"/>
      <c r="D725" s="24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8.75" customHeight="1" x14ac:dyDescent="0.2">
      <c r="A726" s="22"/>
      <c r="B726" s="16"/>
      <c r="C726" s="23"/>
      <c r="D726" s="24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8.75" customHeight="1" x14ac:dyDescent="0.2">
      <c r="A727" s="22"/>
      <c r="B727" s="16"/>
      <c r="C727" s="23"/>
      <c r="D727" s="24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8.75" customHeight="1" x14ac:dyDescent="0.2">
      <c r="A728" s="22"/>
      <c r="B728" s="16"/>
      <c r="C728" s="23"/>
      <c r="D728" s="24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8.75" customHeight="1" x14ac:dyDescent="0.2">
      <c r="A729" s="22"/>
      <c r="B729" s="16"/>
      <c r="C729" s="23"/>
      <c r="D729" s="24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8.75" customHeight="1" x14ac:dyDescent="0.2">
      <c r="A730" s="22"/>
      <c r="B730" s="16"/>
      <c r="C730" s="23"/>
      <c r="D730" s="24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8.75" customHeight="1" x14ac:dyDescent="0.2">
      <c r="A731" s="22"/>
      <c r="B731" s="16"/>
      <c r="C731" s="23"/>
      <c r="D731" s="24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8.75" customHeight="1" x14ac:dyDescent="0.2">
      <c r="A732" s="22"/>
      <c r="B732" s="16"/>
      <c r="C732" s="23"/>
      <c r="D732" s="24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8.75" customHeight="1" x14ac:dyDescent="0.2">
      <c r="A733" s="22"/>
      <c r="B733" s="16"/>
      <c r="C733" s="23"/>
      <c r="D733" s="24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8.75" customHeight="1" x14ac:dyDescent="0.2">
      <c r="A734" s="22"/>
      <c r="B734" s="16"/>
      <c r="C734" s="23"/>
      <c r="D734" s="24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8.75" customHeight="1" x14ac:dyDescent="0.2">
      <c r="A735" s="22"/>
      <c r="B735" s="16"/>
      <c r="C735" s="23"/>
      <c r="D735" s="24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8.75" customHeight="1" x14ac:dyDescent="0.2">
      <c r="A736" s="22"/>
      <c r="B736" s="16"/>
      <c r="C736" s="23"/>
      <c r="D736" s="24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8.75" customHeight="1" x14ac:dyDescent="0.2">
      <c r="A737" s="22"/>
      <c r="B737" s="16"/>
      <c r="C737" s="23"/>
      <c r="D737" s="24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8.75" customHeight="1" x14ac:dyDescent="0.2">
      <c r="A738" s="22"/>
      <c r="B738" s="16"/>
      <c r="C738" s="23"/>
      <c r="D738" s="24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8.75" customHeight="1" x14ac:dyDescent="0.2">
      <c r="A739" s="22"/>
      <c r="B739" s="16"/>
      <c r="C739" s="23"/>
      <c r="D739" s="24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8.75" customHeight="1" x14ac:dyDescent="0.2">
      <c r="A740" s="22"/>
      <c r="B740" s="16"/>
      <c r="C740" s="23"/>
      <c r="D740" s="24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8.75" customHeight="1" x14ac:dyDescent="0.2">
      <c r="A741" s="22"/>
      <c r="B741" s="16"/>
      <c r="C741" s="23"/>
      <c r="D741" s="24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8.75" customHeight="1" x14ac:dyDescent="0.2">
      <c r="A742" s="22"/>
      <c r="B742" s="16"/>
      <c r="C742" s="23"/>
      <c r="D742" s="24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8.75" customHeight="1" x14ac:dyDescent="0.2">
      <c r="A743" s="22"/>
      <c r="B743" s="16"/>
      <c r="C743" s="23"/>
      <c r="D743" s="24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8.75" customHeight="1" x14ac:dyDescent="0.2">
      <c r="A744" s="22"/>
      <c r="B744" s="16"/>
      <c r="C744" s="23"/>
      <c r="D744" s="24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8.75" customHeight="1" x14ac:dyDescent="0.2">
      <c r="A745" s="22"/>
      <c r="B745" s="16"/>
      <c r="C745" s="23"/>
      <c r="D745" s="24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8.75" customHeight="1" x14ac:dyDescent="0.2">
      <c r="A746" s="22"/>
      <c r="B746" s="16"/>
      <c r="C746" s="23"/>
      <c r="D746" s="24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8.75" customHeight="1" x14ac:dyDescent="0.2">
      <c r="A747" s="22"/>
      <c r="B747" s="16"/>
      <c r="C747" s="23"/>
      <c r="D747" s="24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8.75" customHeight="1" x14ac:dyDescent="0.2">
      <c r="A748" s="22"/>
      <c r="B748" s="16"/>
      <c r="C748" s="23"/>
      <c r="D748" s="24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8.75" customHeight="1" x14ac:dyDescent="0.2">
      <c r="A749" s="22"/>
      <c r="B749" s="16"/>
      <c r="C749" s="23"/>
      <c r="D749" s="24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8.75" customHeight="1" x14ac:dyDescent="0.2">
      <c r="A750" s="22"/>
      <c r="B750" s="16"/>
      <c r="C750" s="23"/>
      <c r="D750" s="24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8.75" customHeight="1" x14ac:dyDescent="0.2">
      <c r="A751" s="22"/>
      <c r="B751" s="16"/>
      <c r="C751" s="23"/>
      <c r="D751" s="24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8.75" customHeight="1" x14ac:dyDescent="0.2">
      <c r="A752" s="22"/>
      <c r="B752" s="16"/>
      <c r="C752" s="23"/>
      <c r="D752" s="24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8.75" customHeight="1" x14ac:dyDescent="0.2">
      <c r="A753" s="22"/>
      <c r="B753" s="16"/>
      <c r="C753" s="23"/>
      <c r="D753" s="24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8.75" customHeight="1" x14ac:dyDescent="0.2">
      <c r="A754" s="22"/>
      <c r="B754" s="16"/>
      <c r="C754" s="23"/>
      <c r="D754" s="24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8.75" customHeight="1" x14ac:dyDescent="0.2">
      <c r="A755" s="22"/>
      <c r="B755" s="16"/>
      <c r="C755" s="23"/>
      <c r="D755" s="24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8.75" customHeight="1" x14ac:dyDescent="0.2">
      <c r="A756" s="22"/>
      <c r="B756" s="16"/>
      <c r="C756" s="23"/>
      <c r="D756" s="24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8.75" customHeight="1" x14ac:dyDescent="0.2">
      <c r="A757" s="22"/>
      <c r="B757" s="16"/>
      <c r="C757" s="23"/>
      <c r="D757" s="24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8.75" customHeight="1" x14ac:dyDescent="0.2">
      <c r="A758" s="22"/>
      <c r="B758" s="16"/>
      <c r="C758" s="23"/>
      <c r="D758" s="24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8.75" customHeight="1" x14ac:dyDescent="0.2">
      <c r="A759" s="22"/>
      <c r="B759" s="16"/>
      <c r="C759" s="23"/>
      <c r="D759" s="24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8.75" customHeight="1" x14ac:dyDescent="0.2">
      <c r="A760" s="22"/>
      <c r="B760" s="16"/>
      <c r="C760" s="23"/>
      <c r="D760" s="24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8.75" customHeight="1" x14ac:dyDescent="0.2">
      <c r="A761" s="22"/>
      <c r="B761" s="16"/>
      <c r="C761" s="23"/>
      <c r="D761" s="24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8.75" customHeight="1" x14ac:dyDescent="0.2">
      <c r="A762" s="22"/>
      <c r="B762" s="16"/>
      <c r="C762" s="23"/>
      <c r="D762" s="24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8.75" customHeight="1" x14ac:dyDescent="0.2">
      <c r="A763" s="22"/>
      <c r="B763" s="16"/>
      <c r="C763" s="23"/>
      <c r="D763" s="24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8.75" customHeight="1" x14ac:dyDescent="0.2">
      <c r="A764" s="22"/>
      <c r="B764" s="16"/>
      <c r="C764" s="23"/>
      <c r="D764" s="24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8.75" customHeight="1" x14ac:dyDescent="0.2">
      <c r="A765" s="22"/>
      <c r="B765" s="16"/>
      <c r="C765" s="23"/>
      <c r="D765" s="24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8.75" customHeight="1" x14ac:dyDescent="0.2">
      <c r="A766" s="22"/>
      <c r="B766" s="16"/>
      <c r="C766" s="23"/>
      <c r="D766" s="24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8.75" customHeight="1" x14ac:dyDescent="0.2">
      <c r="A767" s="22"/>
      <c r="B767" s="16"/>
      <c r="C767" s="23"/>
      <c r="D767" s="24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8.75" customHeight="1" x14ac:dyDescent="0.2">
      <c r="A768" s="22"/>
      <c r="B768" s="16"/>
      <c r="C768" s="23"/>
      <c r="D768" s="24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8.75" customHeight="1" x14ac:dyDescent="0.2">
      <c r="A769" s="22"/>
      <c r="B769" s="16"/>
      <c r="C769" s="23"/>
      <c r="D769" s="24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8.75" customHeight="1" x14ac:dyDescent="0.2">
      <c r="A770" s="22"/>
      <c r="B770" s="16"/>
      <c r="C770" s="23"/>
      <c r="D770" s="24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8.75" customHeight="1" x14ac:dyDescent="0.2">
      <c r="A771" s="22"/>
      <c r="B771" s="16"/>
      <c r="C771" s="23"/>
      <c r="D771" s="24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8.75" customHeight="1" x14ac:dyDescent="0.2">
      <c r="A772" s="22"/>
      <c r="B772" s="16"/>
      <c r="C772" s="23"/>
      <c r="D772" s="24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8.75" customHeight="1" x14ac:dyDescent="0.2">
      <c r="A773" s="22"/>
      <c r="B773" s="16"/>
      <c r="C773" s="23"/>
      <c r="D773" s="24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8.75" customHeight="1" x14ac:dyDescent="0.2">
      <c r="A774" s="22"/>
      <c r="B774" s="16"/>
      <c r="C774" s="23"/>
      <c r="D774" s="24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8.75" customHeight="1" x14ac:dyDescent="0.2">
      <c r="A775" s="22"/>
      <c r="B775" s="16"/>
      <c r="C775" s="23"/>
      <c r="D775" s="24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8.75" customHeight="1" x14ac:dyDescent="0.2">
      <c r="A776" s="22"/>
      <c r="B776" s="16"/>
      <c r="C776" s="23"/>
      <c r="D776" s="24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8.75" customHeight="1" x14ac:dyDescent="0.2">
      <c r="A777" s="22"/>
      <c r="B777" s="16"/>
      <c r="C777" s="23"/>
      <c r="D777" s="24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8.75" customHeight="1" x14ac:dyDescent="0.2">
      <c r="A778" s="22"/>
      <c r="B778" s="16"/>
      <c r="C778" s="23"/>
      <c r="D778" s="24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8.75" customHeight="1" x14ac:dyDescent="0.2">
      <c r="A779" s="22"/>
      <c r="B779" s="16"/>
      <c r="C779" s="23"/>
      <c r="D779" s="24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8.75" customHeight="1" x14ac:dyDescent="0.2">
      <c r="A780" s="22"/>
      <c r="B780" s="16"/>
      <c r="C780" s="23"/>
      <c r="D780" s="24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8.75" customHeight="1" x14ac:dyDescent="0.2">
      <c r="A781" s="22"/>
      <c r="B781" s="16"/>
      <c r="C781" s="23"/>
      <c r="D781" s="24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8.75" customHeight="1" x14ac:dyDescent="0.2">
      <c r="A782" s="22"/>
      <c r="B782" s="16"/>
      <c r="C782" s="23"/>
      <c r="D782" s="24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8.75" customHeight="1" x14ac:dyDescent="0.2">
      <c r="A783" s="22"/>
      <c r="B783" s="16"/>
      <c r="C783" s="23"/>
      <c r="D783" s="24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8.75" customHeight="1" x14ac:dyDescent="0.2">
      <c r="A784" s="22"/>
      <c r="B784" s="16"/>
      <c r="C784" s="23"/>
      <c r="D784" s="24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8.75" customHeight="1" x14ac:dyDescent="0.2">
      <c r="A785" s="22"/>
      <c r="B785" s="16"/>
      <c r="C785" s="23"/>
      <c r="D785" s="24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8.75" customHeight="1" x14ac:dyDescent="0.2">
      <c r="A786" s="22"/>
      <c r="B786" s="16"/>
      <c r="C786" s="23"/>
      <c r="D786" s="24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8.75" customHeight="1" x14ac:dyDescent="0.2">
      <c r="A787" s="22"/>
      <c r="B787" s="16"/>
      <c r="C787" s="23"/>
      <c r="D787" s="24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8.75" customHeight="1" x14ac:dyDescent="0.2">
      <c r="A788" s="22"/>
      <c r="B788" s="16"/>
      <c r="C788" s="23"/>
      <c r="D788" s="24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8.75" customHeight="1" x14ac:dyDescent="0.2">
      <c r="A789" s="22"/>
      <c r="B789" s="16"/>
      <c r="C789" s="23"/>
      <c r="D789" s="24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8.75" customHeight="1" x14ac:dyDescent="0.2">
      <c r="A790" s="22"/>
      <c r="B790" s="16"/>
      <c r="C790" s="23"/>
      <c r="D790" s="24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8.75" customHeight="1" x14ac:dyDescent="0.2">
      <c r="A791" s="22"/>
      <c r="B791" s="16"/>
      <c r="C791" s="23"/>
      <c r="D791" s="24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8.75" customHeight="1" x14ac:dyDescent="0.2">
      <c r="A792" s="22"/>
      <c r="B792" s="16"/>
      <c r="C792" s="23"/>
      <c r="D792" s="24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8.75" customHeight="1" x14ac:dyDescent="0.2">
      <c r="A793" s="22"/>
      <c r="B793" s="16"/>
      <c r="C793" s="23"/>
      <c r="D793" s="24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8.75" customHeight="1" x14ac:dyDescent="0.2">
      <c r="A794" s="22"/>
      <c r="B794" s="16"/>
      <c r="C794" s="23"/>
      <c r="D794" s="24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8.75" customHeight="1" x14ac:dyDescent="0.2">
      <c r="A795" s="22"/>
      <c r="B795" s="16"/>
      <c r="C795" s="23"/>
      <c r="D795" s="24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8.75" customHeight="1" x14ac:dyDescent="0.2">
      <c r="A796" s="22"/>
      <c r="B796" s="16"/>
      <c r="C796" s="23"/>
      <c r="D796" s="24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8.75" customHeight="1" x14ac:dyDescent="0.2">
      <c r="A797" s="22"/>
      <c r="B797" s="16"/>
      <c r="C797" s="23"/>
      <c r="D797" s="24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8.75" customHeight="1" x14ac:dyDescent="0.2">
      <c r="A798" s="22"/>
      <c r="B798" s="16"/>
      <c r="C798" s="23"/>
      <c r="D798" s="24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8.75" customHeight="1" x14ac:dyDescent="0.2">
      <c r="A799" s="22"/>
      <c r="B799" s="16"/>
      <c r="C799" s="23"/>
      <c r="D799" s="24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8.75" customHeight="1" x14ac:dyDescent="0.2">
      <c r="A800" s="22"/>
      <c r="B800" s="16"/>
      <c r="C800" s="23"/>
      <c r="D800" s="24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8.75" customHeight="1" x14ac:dyDescent="0.2">
      <c r="A801" s="22"/>
      <c r="B801" s="16"/>
      <c r="C801" s="23"/>
      <c r="D801" s="24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8.75" customHeight="1" x14ac:dyDescent="0.2">
      <c r="A802" s="22"/>
      <c r="B802" s="16"/>
      <c r="C802" s="23"/>
      <c r="D802" s="24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8.75" customHeight="1" x14ac:dyDescent="0.2">
      <c r="A803" s="22"/>
      <c r="B803" s="16"/>
      <c r="C803" s="23"/>
      <c r="D803" s="24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8.75" customHeight="1" x14ac:dyDescent="0.2">
      <c r="A804" s="22"/>
      <c r="B804" s="16"/>
      <c r="C804" s="23"/>
      <c r="D804" s="24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8.75" customHeight="1" x14ac:dyDescent="0.2">
      <c r="A805" s="22"/>
      <c r="B805" s="16"/>
      <c r="C805" s="23"/>
      <c r="D805" s="24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8.75" customHeight="1" x14ac:dyDescent="0.2">
      <c r="A806" s="22"/>
      <c r="B806" s="16"/>
      <c r="C806" s="23"/>
      <c r="D806" s="24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8.75" customHeight="1" x14ac:dyDescent="0.2">
      <c r="A807" s="22"/>
      <c r="B807" s="16"/>
      <c r="C807" s="23"/>
      <c r="D807" s="24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8.75" customHeight="1" x14ac:dyDescent="0.2">
      <c r="A808" s="22"/>
      <c r="B808" s="16"/>
      <c r="C808" s="23"/>
      <c r="D808" s="24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8.75" customHeight="1" x14ac:dyDescent="0.2">
      <c r="A809" s="22"/>
      <c r="B809" s="16"/>
      <c r="C809" s="23"/>
      <c r="D809" s="24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8.75" customHeight="1" x14ac:dyDescent="0.2">
      <c r="A810" s="22"/>
      <c r="B810" s="16"/>
      <c r="C810" s="23"/>
      <c r="D810" s="24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8.75" customHeight="1" x14ac:dyDescent="0.2">
      <c r="A811" s="22"/>
      <c r="B811" s="16"/>
      <c r="C811" s="23"/>
      <c r="D811" s="24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8.75" customHeight="1" x14ac:dyDescent="0.2">
      <c r="A812" s="22"/>
      <c r="B812" s="16"/>
      <c r="C812" s="23"/>
      <c r="D812" s="24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8.75" customHeight="1" x14ac:dyDescent="0.2">
      <c r="A813" s="22"/>
      <c r="B813" s="16"/>
      <c r="C813" s="23"/>
      <c r="D813" s="24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8.75" customHeight="1" x14ac:dyDescent="0.2">
      <c r="A814" s="22"/>
      <c r="B814" s="16"/>
      <c r="C814" s="23"/>
      <c r="D814" s="24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8.75" customHeight="1" x14ac:dyDescent="0.2">
      <c r="A815" s="22"/>
      <c r="B815" s="16"/>
      <c r="C815" s="23"/>
      <c r="D815" s="24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8.75" customHeight="1" x14ac:dyDescent="0.2">
      <c r="A816" s="22"/>
      <c r="B816" s="16"/>
      <c r="C816" s="23"/>
      <c r="D816" s="24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8.75" customHeight="1" x14ac:dyDescent="0.2">
      <c r="A817" s="22"/>
      <c r="B817" s="16"/>
      <c r="C817" s="23"/>
      <c r="D817" s="24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8.75" customHeight="1" x14ac:dyDescent="0.2">
      <c r="A818" s="22"/>
      <c r="B818" s="16"/>
      <c r="C818" s="23"/>
      <c r="D818" s="24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8.75" customHeight="1" x14ac:dyDescent="0.2">
      <c r="A819" s="22"/>
      <c r="B819" s="16"/>
      <c r="C819" s="23"/>
      <c r="D819" s="24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8.75" customHeight="1" x14ac:dyDescent="0.2">
      <c r="A820" s="22"/>
      <c r="B820" s="16"/>
      <c r="C820" s="23"/>
      <c r="D820" s="24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8.75" customHeight="1" x14ac:dyDescent="0.2">
      <c r="A821" s="22"/>
      <c r="B821" s="16"/>
      <c r="C821" s="23"/>
      <c r="D821" s="24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8.75" customHeight="1" x14ac:dyDescent="0.2">
      <c r="A822" s="22"/>
      <c r="B822" s="16"/>
      <c r="C822" s="23"/>
      <c r="D822" s="24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8.75" customHeight="1" x14ac:dyDescent="0.2">
      <c r="A823" s="22"/>
      <c r="B823" s="16"/>
      <c r="C823" s="23"/>
      <c r="D823" s="24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8.75" customHeight="1" x14ac:dyDescent="0.2">
      <c r="A824" s="22"/>
      <c r="B824" s="16"/>
      <c r="C824" s="23"/>
      <c r="D824" s="24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8.75" customHeight="1" x14ac:dyDescent="0.2">
      <c r="A825" s="22"/>
      <c r="B825" s="16"/>
      <c r="C825" s="23"/>
      <c r="D825" s="24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8.75" customHeight="1" x14ac:dyDescent="0.2">
      <c r="A826" s="22"/>
      <c r="B826" s="16"/>
      <c r="C826" s="23"/>
      <c r="D826" s="24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8.75" customHeight="1" x14ac:dyDescent="0.2">
      <c r="A827" s="22"/>
      <c r="B827" s="16"/>
      <c r="C827" s="23"/>
      <c r="D827" s="24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8.75" customHeight="1" x14ac:dyDescent="0.2">
      <c r="A828" s="22"/>
      <c r="B828" s="16"/>
      <c r="C828" s="23"/>
      <c r="D828" s="24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8.75" customHeight="1" x14ac:dyDescent="0.2">
      <c r="A829" s="22"/>
      <c r="B829" s="16"/>
      <c r="C829" s="23"/>
      <c r="D829" s="24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8.75" customHeight="1" x14ac:dyDescent="0.2">
      <c r="A830" s="22"/>
      <c r="B830" s="16"/>
      <c r="C830" s="23"/>
      <c r="D830" s="24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8.75" customHeight="1" x14ac:dyDescent="0.2">
      <c r="A831" s="22"/>
      <c r="B831" s="16"/>
      <c r="C831" s="23"/>
      <c r="D831" s="24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8.75" customHeight="1" x14ac:dyDescent="0.2">
      <c r="A832" s="22"/>
      <c r="B832" s="16"/>
      <c r="C832" s="23"/>
      <c r="D832" s="24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8.75" customHeight="1" x14ac:dyDescent="0.2">
      <c r="A833" s="22"/>
      <c r="B833" s="16"/>
      <c r="C833" s="23"/>
      <c r="D833" s="24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8.75" customHeight="1" x14ac:dyDescent="0.2">
      <c r="A834" s="22"/>
      <c r="B834" s="16"/>
      <c r="C834" s="23"/>
      <c r="D834" s="24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8.75" customHeight="1" x14ac:dyDescent="0.2">
      <c r="A835" s="22"/>
      <c r="B835" s="16"/>
      <c r="C835" s="23"/>
      <c r="D835" s="24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8.75" customHeight="1" x14ac:dyDescent="0.2">
      <c r="A836" s="22"/>
      <c r="B836" s="16"/>
      <c r="C836" s="23"/>
      <c r="D836" s="24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8.75" customHeight="1" x14ac:dyDescent="0.2">
      <c r="A837" s="22"/>
      <c r="B837" s="16"/>
      <c r="C837" s="23"/>
      <c r="D837" s="24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8.75" customHeight="1" x14ac:dyDescent="0.2">
      <c r="A838" s="22"/>
      <c r="B838" s="16"/>
      <c r="C838" s="23"/>
      <c r="D838" s="24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8.75" customHeight="1" x14ac:dyDescent="0.2">
      <c r="A839" s="22"/>
      <c r="B839" s="16"/>
      <c r="C839" s="23"/>
      <c r="D839" s="24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8.75" customHeight="1" x14ac:dyDescent="0.2">
      <c r="A840" s="22"/>
      <c r="B840" s="16"/>
      <c r="C840" s="23"/>
      <c r="D840" s="24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8.75" customHeight="1" x14ac:dyDescent="0.2">
      <c r="A841" s="22"/>
      <c r="B841" s="16"/>
      <c r="C841" s="23"/>
      <c r="D841" s="24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8.75" customHeight="1" x14ac:dyDescent="0.2">
      <c r="A842" s="22"/>
      <c r="B842" s="16"/>
      <c r="C842" s="23"/>
      <c r="D842" s="24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8.75" customHeight="1" x14ac:dyDescent="0.2">
      <c r="A843" s="22"/>
      <c r="B843" s="16"/>
      <c r="C843" s="23"/>
      <c r="D843" s="24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8.75" customHeight="1" x14ac:dyDescent="0.2">
      <c r="A844" s="22"/>
      <c r="B844" s="16"/>
      <c r="C844" s="23"/>
      <c r="D844" s="24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8.75" customHeight="1" x14ac:dyDescent="0.2">
      <c r="A845" s="22"/>
      <c r="B845" s="16"/>
      <c r="C845" s="23"/>
      <c r="D845" s="24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8.75" customHeight="1" x14ac:dyDescent="0.2">
      <c r="A846" s="22"/>
      <c r="B846" s="16"/>
      <c r="C846" s="23"/>
      <c r="D846" s="24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8.75" customHeight="1" x14ac:dyDescent="0.2">
      <c r="A847" s="22"/>
      <c r="B847" s="16"/>
      <c r="C847" s="23"/>
      <c r="D847" s="24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8.75" customHeight="1" x14ac:dyDescent="0.2">
      <c r="A848" s="22"/>
      <c r="B848" s="16"/>
      <c r="C848" s="23"/>
      <c r="D848" s="24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8.75" customHeight="1" x14ac:dyDescent="0.2">
      <c r="A849" s="22"/>
      <c r="B849" s="16"/>
      <c r="C849" s="23"/>
      <c r="D849" s="24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8.75" customHeight="1" x14ac:dyDescent="0.2">
      <c r="A850" s="22"/>
      <c r="B850" s="16"/>
      <c r="C850" s="23"/>
      <c r="D850" s="24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8.75" customHeight="1" x14ac:dyDescent="0.2">
      <c r="A851" s="22"/>
      <c r="B851" s="16"/>
      <c r="C851" s="23"/>
      <c r="D851" s="24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8.75" customHeight="1" x14ac:dyDescent="0.2">
      <c r="A852" s="22"/>
      <c r="B852" s="16"/>
      <c r="C852" s="23"/>
      <c r="D852" s="24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8.75" customHeight="1" x14ac:dyDescent="0.2">
      <c r="A853" s="22"/>
      <c r="B853" s="16"/>
      <c r="C853" s="23"/>
      <c r="D853" s="24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8.75" customHeight="1" x14ac:dyDescent="0.2">
      <c r="A854" s="22"/>
      <c r="B854" s="16"/>
      <c r="C854" s="23"/>
      <c r="D854" s="24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8.75" customHeight="1" x14ac:dyDescent="0.2">
      <c r="A855" s="22"/>
      <c r="B855" s="16"/>
      <c r="C855" s="23"/>
      <c r="D855" s="24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8.75" customHeight="1" x14ac:dyDescent="0.2">
      <c r="A856" s="22"/>
      <c r="B856" s="16"/>
      <c r="C856" s="23"/>
      <c r="D856" s="24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8.75" customHeight="1" x14ac:dyDescent="0.2">
      <c r="A857" s="22"/>
      <c r="B857" s="16"/>
      <c r="C857" s="23"/>
      <c r="D857" s="24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8.75" customHeight="1" x14ac:dyDescent="0.2">
      <c r="A858" s="22"/>
      <c r="B858" s="16"/>
      <c r="C858" s="23"/>
      <c r="D858" s="24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8.75" customHeight="1" x14ac:dyDescent="0.2">
      <c r="A859" s="22"/>
      <c r="B859" s="16"/>
      <c r="C859" s="23"/>
      <c r="D859" s="24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8.75" customHeight="1" x14ac:dyDescent="0.2">
      <c r="A860" s="22"/>
      <c r="B860" s="16"/>
      <c r="C860" s="23"/>
      <c r="D860" s="24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8.75" customHeight="1" x14ac:dyDescent="0.2">
      <c r="A861" s="22"/>
      <c r="B861" s="16"/>
      <c r="C861" s="23"/>
      <c r="D861" s="24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8.75" customHeight="1" x14ac:dyDescent="0.2">
      <c r="A862" s="22"/>
      <c r="B862" s="16"/>
      <c r="C862" s="23"/>
      <c r="D862" s="24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8.75" customHeight="1" x14ac:dyDescent="0.2">
      <c r="A863" s="22"/>
      <c r="B863" s="16"/>
      <c r="C863" s="23"/>
      <c r="D863" s="24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8.75" customHeight="1" x14ac:dyDescent="0.2">
      <c r="A864" s="22"/>
      <c r="B864" s="16"/>
      <c r="C864" s="23"/>
      <c r="D864" s="24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8.75" customHeight="1" x14ac:dyDescent="0.2">
      <c r="A865" s="22"/>
      <c r="B865" s="16"/>
      <c r="C865" s="23"/>
      <c r="D865" s="24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8.75" customHeight="1" x14ac:dyDescent="0.2">
      <c r="A866" s="22"/>
      <c r="B866" s="16"/>
      <c r="C866" s="23"/>
      <c r="D866" s="24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8.75" customHeight="1" x14ac:dyDescent="0.2">
      <c r="A867" s="22"/>
      <c r="B867" s="16"/>
      <c r="C867" s="23"/>
      <c r="D867" s="24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8.75" customHeight="1" x14ac:dyDescent="0.2">
      <c r="A868" s="22"/>
      <c r="B868" s="16"/>
      <c r="C868" s="23"/>
      <c r="D868" s="24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8.75" customHeight="1" x14ac:dyDescent="0.2">
      <c r="A869" s="22"/>
      <c r="B869" s="16"/>
      <c r="C869" s="23"/>
      <c r="D869" s="24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8.75" customHeight="1" x14ac:dyDescent="0.2">
      <c r="A870" s="22"/>
      <c r="B870" s="16"/>
      <c r="C870" s="23"/>
      <c r="D870" s="24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8.75" customHeight="1" x14ac:dyDescent="0.2">
      <c r="A871" s="22"/>
      <c r="B871" s="16"/>
      <c r="C871" s="23"/>
      <c r="D871" s="24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8.75" customHeight="1" x14ac:dyDescent="0.2">
      <c r="A872" s="22"/>
      <c r="B872" s="16"/>
      <c r="C872" s="23"/>
      <c r="D872" s="24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8.75" customHeight="1" x14ac:dyDescent="0.2">
      <c r="A873" s="22"/>
      <c r="B873" s="16"/>
      <c r="C873" s="23"/>
      <c r="D873" s="24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8.75" customHeight="1" x14ac:dyDescent="0.2">
      <c r="A874" s="22"/>
      <c r="B874" s="16"/>
      <c r="C874" s="23"/>
      <c r="D874" s="24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8.75" customHeight="1" x14ac:dyDescent="0.2">
      <c r="A875" s="22"/>
      <c r="B875" s="16"/>
      <c r="C875" s="23"/>
      <c r="D875" s="24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8.75" customHeight="1" x14ac:dyDescent="0.2">
      <c r="A876" s="22"/>
      <c r="B876" s="16"/>
      <c r="C876" s="23"/>
      <c r="D876" s="24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8.75" customHeight="1" x14ac:dyDescent="0.2">
      <c r="A877" s="22"/>
      <c r="B877" s="16"/>
      <c r="C877" s="23"/>
      <c r="D877" s="24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8.75" customHeight="1" x14ac:dyDescent="0.2">
      <c r="A878" s="22"/>
      <c r="B878" s="16"/>
      <c r="C878" s="23"/>
      <c r="D878" s="24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8.75" customHeight="1" x14ac:dyDescent="0.2">
      <c r="A879" s="22"/>
      <c r="B879" s="16"/>
      <c r="C879" s="23"/>
      <c r="D879" s="24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8.75" customHeight="1" x14ac:dyDescent="0.2">
      <c r="A880" s="22"/>
      <c r="B880" s="16"/>
      <c r="C880" s="23"/>
      <c r="D880" s="24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8.75" customHeight="1" x14ac:dyDescent="0.2">
      <c r="A881" s="22"/>
      <c r="B881" s="16"/>
      <c r="C881" s="23"/>
      <c r="D881" s="24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8.75" customHeight="1" x14ac:dyDescent="0.2">
      <c r="A882" s="22"/>
      <c r="B882" s="16"/>
      <c r="C882" s="23"/>
      <c r="D882" s="24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8.75" customHeight="1" x14ac:dyDescent="0.2">
      <c r="A883" s="22"/>
      <c r="B883" s="16"/>
      <c r="C883" s="23"/>
      <c r="D883" s="24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8.75" customHeight="1" x14ac:dyDescent="0.2">
      <c r="A884" s="22"/>
      <c r="B884" s="16"/>
      <c r="C884" s="23"/>
      <c r="D884" s="24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8.75" customHeight="1" x14ac:dyDescent="0.2">
      <c r="A885" s="22"/>
      <c r="B885" s="16"/>
      <c r="C885" s="23"/>
      <c r="D885" s="24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8.75" customHeight="1" x14ac:dyDescent="0.2">
      <c r="A886" s="22"/>
      <c r="B886" s="16"/>
      <c r="C886" s="23"/>
      <c r="D886" s="24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8.75" customHeight="1" x14ac:dyDescent="0.2">
      <c r="A887" s="22"/>
      <c r="B887" s="16"/>
      <c r="C887" s="23"/>
      <c r="D887" s="24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8.75" customHeight="1" x14ac:dyDescent="0.2">
      <c r="A888" s="22"/>
      <c r="B888" s="16"/>
      <c r="C888" s="23"/>
      <c r="D888" s="24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8.75" customHeight="1" x14ac:dyDescent="0.2">
      <c r="A889" s="22"/>
      <c r="B889" s="16"/>
      <c r="C889" s="23"/>
      <c r="D889" s="24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8.75" customHeight="1" x14ac:dyDescent="0.2">
      <c r="A890" s="22"/>
      <c r="B890" s="16"/>
      <c r="C890" s="23"/>
      <c r="D890" s="24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8.75" customHeight="1" x14ac:dyDescent="0.2">
      <c r="A891" s="22"/>
      <c r="B891" s="16"/>
      <c r="C891" s="23"/>
      <c r="D891" s="24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8.75" customHeight="1" x14ac:dyDescent="0.2">
      <c r="A892" s="22"/>
      <c r="B892" s="16"/>
      <c r="C892" s="23"/>
      <c r="D892" s="24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8.75" customHeight="1" x14ac:dyDescent="0.2">
      <c r="A893" s="22"/>
      <c r="B893" s="16"/>
      <c r="C893" s="23"/>
      <c r="D893" s="24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8.75" customHeight="1" x14ac:dyDescent="0.2">
      <c r="A894" s="22"/>
      <c r="B894" s="16"/>
      <c r="C894" s="23"/>
      <c r="D894" s="24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8.75" customHeight="1" x14ac:dyDescent="0.2">
      <c r="A895" s="22"/>
      <c r="B895" s="16"/>
      <c r="C895" s="23"/>
      <c r="D895" s="24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8.75" customHeight="1" x14ac:dyDescent="0.2">
      <c r="A896" s="22"/>
      <c r="B896" s="16"/>
      <c r="C896" s="23"/>
      <c r="D896" s="24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8.75" customHeight="1" x14ac:dyDescent="0.2">
      <c r="A897" s="22"/>
      <c r="B897" s="16"/>
      <c r="C897" s="23"/>
      <c r="D897" s="24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8.75" customHeight="1" x14ac:dyDescent="0.2">
      <c r="A898" s="22"/>
      <c r="B898" s="16"/>
      <c r="C898" s="23"/>
      <c r="D898" s="24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8.75" customHeight="1" x14ac:dyDescent="0.2">
      <c r="A899" s="22"/>
      <c r="B899" s="16"/>
      <c r="C899" s="23"/>
      <c r="D899" s="24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8.75" customHeight="1" x14ac:dyDescent="0.2">
      <c r="A900" s="22"/>
      <c r="B900" s="16"/>
      <c r="C900" s="23"/>
      <c r="D900" s="24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8.75" customHeight="1" x14ac:dyDescent="0.2">
      <c r="A901" s="22"/>
      <c r="B901" s="16"/>
      <c r="C901" s="23"/>
      <c r="D901" s="24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8.75" customHeight="1" x14ac:dyDescent="0.2">
      <c r="A902" s="22"/>
      <c r="B902" s="16"/>
      <c r="C902" s="23"/>
      <c r="D902" s="24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8.75" customHeight="1" x14ac:dyDescent="0.2">
      <c r="A903" s="22"/>
      <c r="B903" s="16"/>
      <c r="C903" s="23"/>
      <c r="D903" s="24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8.75" customHeight="1" x14ac:dyDescent="0.2">
      <c r="A904" s="22"/>
      <c r="B904" s="16"/>
      <c r="C904" s="23"/>
      <c r="D904" s="24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8.75" customHeight="1" x14ac:dyDescent="0.2">
      <c r="A905" s="22"/>
      <c r="B905" s="16"/>
      <c r="C905" s="23"/>
      <c r="D905" s="24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8.75" customHeight="1" x14ac:dyDescent="0.2">
      <c r="A906" s="22"/>
      <c r="B906" s="16"/>
      <c r="C906" s="23"/>
      <c r="D906" s="24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8.75" customHeight="1" x14ac:dyDescent="0.2">
      <c r="A907" s="22"/>
      <c r="B907" s="16"/>
      <c r="C907" s="23"/>
      <c r="D907" s="24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8.75" customHeight="1" x14ac:dyDescent="0.2">
      <c r="A908" s="22"/>
      <c r="B908" s="16"/>
      <c r="C908" s="23"/>
      <c r="D908" s="24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8.75" customHeight="1" x14ac:dyDescent="0.2">
      <c r="A909" s="22"/>
      <c r="B909" s="16"/>
      <c r="C909" s="23"/>
      <c r="D909" s="24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8.75" customHeight="1" x14ac:dyDescent="0.2">
      <c r="A910" s="22"/>
      <c r="B910" s="16"/>
      <c r="C910" s="23"/>
      <c r="D910" s="24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8.75" customHeight="1" x14ac:dyDescent="0.2">
      <c r="A911" s="22"/>
      <c r="B911" s="16"/>
      <c r="C911" s="23"/>
      <c r="D911" s="24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8.75" customHeight="1" x14ac:dyDescent="0.2">
      <c r="A912" s="22"/>
      <c r="B912" s="16"/>
      <c r="C912" s="23"/>
      <c r="D912" s="24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8.75" customHeight="1" x14ac:dyDescent="0.2">
      <c r="A913" s="22"/>
      <c r="B913" s="16"/>
      <c r="C913" s="23"/>
      <c r="D913" s="24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8.75" customHeight="1" x14ac:dyDescent="0.2">
      <c r="A914" s="22"/>
      <c r="B914" s="16"/>
      <c r="C914" s="23"/>
      <c r="D914" s="24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8.75" customHeight="1" x14ac:dyDescent="0.2">
      <c r="A915" s="22"/>
      <c r="B915" s="16"/>
      <c r="C915" s="23"/>
      <c r="D915" s="24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8.75" customHeight="1" x14ac:dyDescent="0.2">
      <c r="A916" s="22"/>
      <c r="B916" s="16"/>
      <c r="C916" s="23"/>
      <c r="D916" s="24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8.75" customHeight="1" x14ac:dyDescent="0.2">
      <c r="A917" s="22"/>
      <c r="B917" s="16"/>
      <c r="C917" s="23"/>
      <c r="D917" s="24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8.75" customHeight="1" x14ac:dyDescent="0.2">
      <c r="A918" s="22"/>
      <c r="B918" s="16"/>
      <c r="C918" s="23"/>
      <c r="D918" s="24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8.75" customHeight="1" x14ac:dyDescent="0.2">
      <c r="A919" s="22"/>
      <c r="B919" s="16"/>
      <c r="C919" s="23"/>
      <c r="D919" s="24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8.75" customHeight="1" x14ac:dyDescent="0.2">
      <c r="A920" s="22"/>
      <c r="B920" s="16"/>
      <c r="C920" s="23"/>
      <c r="D920" s="24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8.75" customHeight="1" x14ac:dyDescent="0.2">
      <c r="A921" s="22"/>
      <c r="B921" s="16"/>
      <c r="C921" s="23"/>
      <c r="D921" s="24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8.75" customHeight="1" x14ac:dyDescent="0.2">
      <c r="A922" s="22"/>
      <c r="B922" s="16"/>
      <c r="C922" s="23"/>
      <c r="D922" s="24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8.75" customHeight="1" x14ac:dyDescent="0.2">
      <c r="A923" s="22"/>
      <c r="B923" s="16"/>
      <c r="C923" s="23"/>
      <c r="D923" s="24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8.75" customHeight="1" x14ac:dyDescent="0.2">
      <c r="A924" s="22"/>
      <c r="B924" s="16"/>
      <c r="C924" s="23"/>
      <c r="D924" s="24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8.75" customHeight="1" x14ac:dyDescent="0.2">
      <c r="A925" s="22"/>
      <c r="B925" s="16"/>
      <c r="C925" s="23"/>
      <c r="D925" s="24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8.75" customHeight="1" x14ac:dyDescent="0.2">
      <c r="A926" s="22"/>
      <c r="B926" s="16"/>
      <c r="C926" s="23"/>
      <c r="D926" s="24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8.75" customHeight="1" x14ac:dyDescent="0.2">
      <c r="A927" s="22"/>
      <c r="B927" s="16"/>
      <c r="C927" s="23"/>
      <c r="D927" s="24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8.75" customHeight="1" x14ac:dyDescent="0.2">
      <c r="A928" s="22"/>
      <c r="B928" s="16"/>
      <c r="C928" s="23"/>
      <c r="D928" s="24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8.75" customHeight="1" x14ac:dyDescent="0.2">
      <c r="A929" s="22"/>
      <c r="B929" s="16"/>
      <c r="C929" s="23"/>
      <c r="D929" s="24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8.75" customHeight="1" x14ac:dyDescent="0.2">
      <c r="A930" s="22"/>
      <c r="B930" s="16"/>
      <c r="C930" s="23"/>
      <c r="D930" s="24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8.75" customHeight="1" x14ac:dyDescent="0.2">
      <c r="A931" s="22"/>
      <c r="B931" s="16"/>
      <c r="C931" s="23"/>
      <c r="D931" s="24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8.75" customHeight="1" x14ac:dyDescent="0.2">
      <c r="A932" s="22"/>
      <c r="B932" s="16"/>
      <c r="C932" s="23"/>
      <c r="D932" s="24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8.75" customHeight="1" x14ac:dyDescent="0.2">
      <c r="A933" s="22"/>
      <c r="B933" s="16"/>
      <c r="C933" s="23"/>
      <c r="D933" s="24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8.75" customHeight="1" x14ac:dyDescent="0.2">
      <c r="A934" s="22"/>
      <c r="B934" s="16"/>
      <c r="C934" s="23"/>
      <c r="D934" s="24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8.75" customHeight="1" x14ac:dyDescent="0.2">
      <c r="A935" s="22"/>
      <c r="B935" s="16"/>
      <c r="C935" s="23"/>
      <c r="D935" s="24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8.75" customHeight="1" x14ac:dyDescent="0.2">
      <c r="A936" s="22"/>
      <c r="B936" s="16"/>
      <c r="C936" s="23"/>
      <c r="D936" s="24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8.75" customHeight="1" x14ac:dyDescent="0.2">
      <c r="A937" s="22"/>
      <c r="B937" s="16"/>
      <c r="C937" s="23"/>
      <c r="D937" s="24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8.75" customHeight="1" x14ac:dyDescent="0.2">
      <c r="A938" s="22"/>
      <c r="B938" s="16"/>
      <c r="C938" s="23"/>
      <c r="D938" s="24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8.75" customHeight="1" x14ac:dyDescent="0.2">
      <c r="A939" s="22"/>
      <c r="B939" s="16"/>
      <c r="C939" s="23"/>
      <c r="D939" s="24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8.75" customHeight="1" x14ac:dyDescent="0.2">
      <c r="A940" s="22"/>
      <c r="B940" s="16"/>
      <c r="C940" s="23"/>
      <c r="D940" s="24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8.75" customHeight="1" x14ac:dyDescent="0.2">
      <c r="A941" s="22"/>
      <c r="B941" s="16"/>
      <c r="C941" s="23"/>
      <c r="D941" s="24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8.75" customHeight="1" x14ac:dyDescent="0.2">
      <c r="A942" s="22"/>
      <c r="B942" s="16"/>
      <c r="C942" s="23"/>
      <c r="D942" s="24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8.75" customHeight="1" x14ac:dyDescent="0.2">
      <c r="A943" s="22"/>
      <c r="B943" s="16"/>
      <c r="C943" s="23"/>
      <c r="D943" s="24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8.75" customHeight="1" x14ac:dyDescent="0.2">
      <c r="A944" s="22"/>
      <c r="B944" s="16"/>
      <c r="C944" s="23"/>
      <c r="D944" s="24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8.75" customHeight="1" x14ac:dyDescent="0.2">
      <c r="A945" s="22"/>
      <c r="B945" s="16"/>
      <c r="C945" s="23"/>
      <c r="D945" s="24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8.75" customHeight="1" x14ac:dyDescent="0.2">
      <c r="A946" s="22"/>
      <c r="B946" s="16"/>
      <c r="C946" s="23"/>
      <c r="D946" s="24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8.75" customHeight="1" x14ac:dyDescent="0.2">
      <c r="A947" s="22"/>
      <c r="B947" s="16"/>
      <c r="C947" s="23"/>
      <c r="D947" s="24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8.75" customHeight="1" x14ac:dyDescent="0.2">
      <c r="A948" s="22"/>
      <c r="B948" s="16"/>
      <c r="C948" s="23"/>
      <c r="D948" s="24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8.75" customHeight="1" x14ac:dyDescent="0.2">
      <c r="A949" s="22"/>
      <c r="B949" s="16"/>
      <c r="C949" s="23"/>
      <c r="D949" s="24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8.75" customHeight="1" x14ac:dyDescent="0.2">
      <c r="A950" s="22"/>
      <c r="B950" s="16"/>
      <c r="C950" s="23"/>
      <c r="D950" s="24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8.75" customHeight="1" x14ac:dyDescent="0.2">
      <c r="A951" s="22"/>
      <c r="B951" s="16"/>
      <c r="C951" s="23"/>
      <c r="D951" s="24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8.75" customHeight="1" x14ac:dyDescent="0.2">
      <c r="A952" s="22"/>
      <c r="B952" s="16"/>
      <c r="C952" s="23"/>
      <c r="D952" s="24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8.75" customHeight="1" x14ac:dyDescent="0.2">
      <c r="A953" s="22"/>
      <c r="B953" s="16"/>
      <c r="C953" s="23"/>
      <c r="D953" s="24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8.75" customHeight="1" x14ac:dyDescent="0.2">
      <c r="A954" s="22"/>
      <c r="B954" s="16"/>
      <c r="C954" s="23"/>
      <c r="D954" s="24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8.75" customHeight="1" x14ac:dyDescent="0.2">
      <c r="A955" s="22"/>
      <c r="B955" s="16"/>
      <c r="C955" s="23"/>
      <c r="D955" s="24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8.75" customHeight="1" x14ac:dyDescent="0.2">
      <c r="A956" s="22"/>
      <c r="B956" s="16"/>
      <c r="C956" s="23"/>
      <c r="D956" s="24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8.75" customHeight="1" x14ac:dyDescent="0.2">
      <c r="A957" s="22"/>
      <c r="B957" s="16"/>
      <c r="C957" s="23"/>
      <c r="D957" s="24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8.75" customHeight="1" x14ac:dyDescent="0.2">
      <c r="A958" s="22"/>
      <c r="B958" s="16"/>
      <c r="C958" s="23"/>
      <c r="D958" s="24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8.75" customHeight="1" x14ac:dyDescent="0.2">
      <c r="A959" s="22"/>
      <c r="B959" s="16"/>
      <c r="C959" s="23"/>
      <c r="D959" s="24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8.75" customHeight="1" x14ac:dyDescent="0.2">
      <c r="A960" s="22"/>
      <c r="B960" s="16"/>
      <c r="C960" s="23"/>
      <c r="D960" s="24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8.75" customHeight="1" x14ac:dyDescent="0.2">
      <c r="A961" s="22"/>
      <c r="B961" s="16"/>
      <c r="C961" s="23"/>
      <c r="D961" s="24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8.75" customHeight="1" x14ac:dyDescent="0.2">
      <c r="A962" s="22"/>
      <c r="B962" s="16"/>
      <c r="C962" s="23"/>
      <c r="D962" s="24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8.75" customHeight="1" x14ac:dyDescent="0.2">
      <c r="A963" s="22"/>
      <c r="B963" s="16"/>
      <c r="C963" s="23"/>
      <c r="D963" s="24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8.75" customHeight="1" x14ac:dyDescent="0.2">
      <c r="A964" s="22"/>
      <c r="B964" s="16"/>
      <c r="C964" s="23"/>
      <c r="D964" s="24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8.75" customHeight="1" x14ac:dyDescent="0.2">
      <c r="A965" s="22"/>
      <c r="B965" s="16"/>
      <c r="C965" s="23"/>
      <c r="D965" s="24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8.75" customHeight="1" x14ac:dyDescent="0.2">
      <c r="A966" s="22"/>
      <c r="B966" s="16"/>
      <c r="C966" s="23"/>
      <c r="D966" s="24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8.75" customHeight="1" x14ac:dyDescent="0.2">
      <c r="A967" s="22"/>
      <c r="B967" s="16"/>
      <c r="C967" s="23"/>
      <c r="D967" s="24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8.75" customHeight="1" x14ac:dyDescent="0.2">
      <c r="A968" s="22"/>
      <c r="B968" s="16"/>
      <c r="C968" s="23"/>
      <c r="D968" s="24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8.75" customHeight="1" x14ac:dyDescent="0.2">
      <c r="A969" s="22"/>
      <c r="B969" s="16"/>
      <c r="C969" s="23"/>
      <c r="D969" s="24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8.75" customHeight="1" x14ac:dyDescent="0.2">
      <c r="A970" s="22"/>
      <c r="B970" s="16"/>
      <c r="C970" s="23"/>
      <c r="D970" s="24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8.75" customHeight="1" x14ac:dyDescent="0.2">
      <c r="A971" s="22"/>
      <c r="B971" s="16"/>
      <c r="C971" s="23"/>
      <c r="D971" s="24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8.75" customHeight="1" x14ac:dyDescent="0.2">
      <c r="A972" s="22"/>
      <c r="B972" s="16"/>
      <c r="C972" s="23"/>
      <c r="D972" s="24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8.75" customHeight="1" x14ac:dyDescent="0.2">
      <c r="A973" s="22"/>
      <c r="B973" s="16"/>
      <c r="C973" s="23"/>
      <c r="D973" s="24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8.75" customHeight="1" x14ac:dyDescent="0.2">
      <c r="A974" s="22"/>
      <c r="B974" s="16"/>
      <c r="C974" s="23"/>
      <c r="D974" s="24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8.75" customHeight="1" x14ac:dyDescent="0.2">
      <c r="A975" s="22"/>
      <c r="B975" s="16"/>
      <c r="C975" s="23"/>
      <c r="D975" s="24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8.75" customHeight="1" x14ac:dyDescent="0.2">
      <c r="A976" s="22"/>
      <c r="B976" s="16"/>
      <c r="C976" s="23"/>
      <c r="D976" s="24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8.75" customHeight="1" x14ac:dyDescent="0.2">
      <c r="A977" s="22"/>
      <c r="B977" s="16"/>
      <c r="C977" s="23"/>
      <c r="D977" s="24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8.75" customHeight="1" x14ac:dyDescent="0.2">
      <c r="A978" s="22"/>
      <c r="B978" s="16"/>
      <c r="C978" s="23"/>
      <c r="D978" s="24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8.75" customHeight="1" x14ac:dyDescent="0.2">
      <c r="A979" s="22"/>
      <c r="B979" s="16"/>
      <c r="C979" s="23"/>
      <c r="D979" s="24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8.75" customHeight="1" x14ac:dyDescent="0.2">
      <c r="A980" s="22"/>
      <c r="B980" s="16"/>
      <c r="C980" s="23"/>
      <c r="D980" s="24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8.75" customHeight="1" x14ac:dyDescent="0.2">
      <c r="A981" s="22"/>
      <c r="B981" s="16"/>
      <c r="C981" s="23"/>
      <c r="D981" s="24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8.75" customHeight="1" x14ac:dyDescent="0.2">
      <c r="A982" s="22"/>
      <c r="B982" s="16"/>
      <c r="C982" s="23"/>
      <c r="D982" s="24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8.75" customHeight="1" x14ac:dyDescent="0.2">
      <c r="A983" s="22"/>
      <c r="B983" s="16"/>
      <c r="C983" s="23"/>
      <c r="D983" s="24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8.75" customHeight="1" x14ac:dyDescent="0.2">
      <c r="A984" s="22"/>
      <c r="B984" s="16"/>
      <c r="C984" s="23"/>
      <c r="D984" s="24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8.75" customHeight="1" x14ac:dyDescent="0.2">
      <c r="A985" s="22"/>
      <c r="B985" s="16"/>
      <c r="C985" s="23"/>
      <c r="D985" s="24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8.75" customHeight="1" x14ac:dyDescent="0.2">
      <c r="A986" s="22"/>
      <c r="B986" s="16"/>
      <c r="C986" s="23"/>
      <c r="D986" s="24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8.75" customHeight="1" x14ac:dyDescent="0.2">
      <c r="A987" s="22"/>
      <c r="B987" s="16"/>
      <c r="C987" s="23"/>
      <c r="D987" s="24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8.75" customHeight="1" x14ac:dyDescent="0.2">
      <c r="A988" s="22"/>
      <c r="B988" s="16"/>
      <c r="C988" s="23"/>
      <c r="D988" s="24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8.75" customHeight="1" x14ac:dyDescent="0.2">
      <c r="A989" s="22"/>
      <c r="B989" s="16"/>
      <c r="C989" s="23"/>
      <c r="D989" s="24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8.75" customHeight="1" x14ac:dyDescent="0.2">
      <c r="A990" s="22"/>
      <c r="B990" s="16"/>
      <c r="C990" s="23"/>
      <c r="D990" s="24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8.75" customHeight="1" x14ac:dyDescent="0.2">
      <c r="A991" s="22"/>
      <c r="B991" s="16"/>
      <c r="C991" s="23"/>
      <c r="D991" s="24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8.75" customHeight="1" x14ac:dyDescent="0.2">
      <c r="A992" s="22"/>
      <c r="B992" s="16"/>
      <c r="C992" s="23"/>
      <c r="D992" s="24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8.75" customHeight="1" x14ac:dyDescent="0.2">
      <c r="A993" s="22"/>
      <c r="B993" s="16"/>
      <c r="C993" s="23"/>
      <c r="D993" s="24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8.75" customHeight="1" x14ac:dyDescent="0.2">
      <c r="A994" s="22"/>
      <c r="B994" s="16"/>
      <c r="C994" s="23"/>
      <c r="D994" s="24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8.75" customHeight="1" x14ac:dyDescent="0.2">
      <c r="A995" s="22"/>
      <c r="B995" s="16"/>
      <c r="C995" s="23"/>
      <c r="D995" s="24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8.75" customHeight="1" x14ac:dyDescent="0.2">
      <c r="A996" s="22"/>
      <c r="B996" s="16"/>
      <c r="C996" s="23"/>
      <c r="D996" s="24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8.75" customHeight="1" x14ac:dyDescent="0.2">
      <c r="A997" s="22"/>
      <c r="B997" s="16"/>
      <c r="C997" s="23"/>
      <c r="D997" s="24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8.75" customHeight="1" x14ac:dyDescent="0.2">
      <c r="A998" s="22"/>
      <c r="B998" s="16"/>
      <c r="C998" s="23"/>
      <c r="D998" s="24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8.75" customHeight="1" x14ac:dyDescent="0.2">
      <c r="A999" s="22"/>
      <c r="B999" s="16"/>
      <c r="C999" s="23"/>
      <c r="D999" s="24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8.75" customHeight="1" x14ac:dyDescent="0.2">
      <c r="A1000" s="22"/>
      <c r="B1000" s="16"/>
      <c r="C1000" s="23"/>
      <c r="D1000" s="24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1:27" ht="18.75" customHeight="1" x14ac:dyDescent="0.2">
      <c r="A1001" s="22"/>
      <c r="B1001" s="16"/>
      <c r="C1001" s="23"/>
      <c r="D1001" s="24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 spans="1:27" ht="18.75" customHeight="1" x14ac:dyDescent="0.2">
      <c r="A1002" s="22"/>
      <c r="B1002" s="16"/>
      <c r="C1002" s="23"/>
      <c r="D1002" s="24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 spans="1:27" ht="18.75" customHeight="1" x14ac:dyDescent="0.2">
      <c r="A1003" s="22"/>
      <c r="B1003" s="16"/>
      <c r="C1003" s="23"/>
      <c r="D1003" s="24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 spans="1:27" ht="18.75" customHeight="1" x14ac:dyDescent="0.2">
      <c r="A1004" s="22"/>
      <c r="B1004" s="16"/>
      <c r="C1004" s="23"/>
      <c r="D1004" s="24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1:27" ht="18.75" customHeight="1" x14ac:dyDescent="0.2">
      <c r="A1005" s="22"/>
      <c r="B1005" s="16"/>
      <c r="C1005" s="23"/>
      <c r="D1005" s="24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1:27" ht="18.75" customHeight="1" x14ac:dyDescent="0.2">
      <c r="A1006" s="22"/>
      <c r="B1006" s="16"/>
      <c r="C1006" s="23"/>
      <c r="D1006" s="24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 spans="1:27" ht="18.75" customHeight="1" x14ac:dyDescent="0.2">
      <c r="A1007" s="22"/>
      <c r="B1007" s="16"/>
      <c r="C1007" s="23"/>
      <c r="D1007" s="24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 spans="1:27" ht="18.75" customHeight="1" x14ac:dyDescent="0.2">
      <c r="A1008" s="22"/>
      <c r="B1008" s="16"/>
      <c r="C1008" s="23"/>
      <c r="D1008" s="24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 spans="1:27" ht="18.75" customHeight="1" x14ac:dyDescent="0.2">
      <c r="A1009" s="22"/>
      <c r="B1009" s="16"/>
      <c r="C1009" s="23"/>
      <c r="D1009" s="24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 spans="1:27" ht="18.75" customHeight="1" x14ac:dyDescent="0.2">
      <c r="A1010" s="22"/>
      <c r="B1010" s="16"/>
      <c r="C1010" s="23"/>
      <c r="D1010" s="24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 spans="1:27" ht="18.75" customHeight="1" x14ac:dyDescent="0.2">
      <c r="A1011" s="22"/>
      <c r="B1011" s="16"/>
      <c r="C1011" s="23"/>
      <c r="D1011" s="24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1:27" ht="18.75" customHeight="1" x14ac:dyDescent="0.2">
      <c r="A1012" s="22"/>
      <c r="B1012" s="16"/>
      <c r="C1012" s="23"/>
      <c r="D1012" s="24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1:27" ht="18.75" customHeight="1" x14ac:dyDescent="0.2">
      <c r="A1013" s="22"/>
      <c r="B1013" s="16"/>
      <c r="C1013" s="23"/>
      <c r="D1013" s="24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r="1014" spans="1:27" ht="18.75" customHeight="1" x14ac:dyDescent="0.2">
      <c r="A1014" s="22"/>
      <c r="B1014" s="16"/>
      <c r="C1014" s="23"/>
      <c r="D1014" s="24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r="1015" spans="1:27" ht="18.75" customHeight="1" x14ac:dyDescent="0.2">
      <c r="A1015" s="22"/>
      <c r="B1015" s="16"/>
      <c r="C1015" s="23"/>
      <c r="D1015" s="24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r="1016" spans="1:27" ht="18.75" customHeight="1" x14ac:dyDescent="0.2">
      <c r="A1016" s="22"/>
      <c r="B1016" s="16"/>
      <c r="C1016" s="23"/>
      <c r="D1016" s="24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r="1017" spans="1:27" ht="18.75" customHeight="1" x14ac:dyDescent="0.2">
      <c r="A1017" s="22"/>
      <c r="B1017" s="16"/>
      <c r="C1017" s="23"/>
      <c r="D1017" s="24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 spans="1:27" ht="18.75" customHeight="1" x14ac:dyDescent="0.2">
      <c r="A1018" s="22"/>
      <c r="B1018" s="16"/>
      <c r="C1018" s="23"/>
      <c r="D1018" s="24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1:27" ht="18.75" customHeight="1" x14ac:dyDescent="0.2">
      <c r="A1019" s="22"/>
      <c r="B1019" s="16"/>
      <c r="C1019" s="23"/>
      <c r="D1019" s="24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1:27" ht="18.75" customHeight="1" x14ac:dyDescent="0.2">
      <c r="A1020" s="22"/>
      <c r="B1020" s="16"/>
      <c r="C1020" s="23"/>
      <c r="D1020" s="24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r="1021" spans="1:27" ht="18.75" customHeight="1" x14ac:dyDescent="0.2">
      <c r="A1021" s="22"/>
      <c r="B1021" s="16"/>
      <c r="C1021" s="23"/>
      <c r="D1021" s="24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</sheetData>
  <mergeCells count="166">
    <mergeCell ref="D8:R8"/>
    <mergeCell ref="J9:R9"/>
    <mergeCell ref="J10:R10"/>
    <mergeCell ref="A6:D6"/>
    <mergeCell ref="E6:H6"/>
    <mergeCell ref="I6:M6"/>
    <mergeCell ref="Q6:R6"/>
    <mergeCell ref="Q7:R7"/>
    <mergeCell ref="I7:M7"/>
    <mergeCell ref="E7:H7"/>
    <mergeCell ref="A7:D7"/>
    <mergeCell ref="A8:C8"/>
    <mergeCell ref="A9:I9"/>
    <mergeCell ref="A10:I10"/>
    <mergeCell ref="A1:B2"/>
    <mergeCell ref="C1:P1"/>
    <mergeCell ref="Q1:R1"/>
    <mergeCell ref="C2:P2"/>
    <mergeCell ref="Q2:R2"/>
    <mergeCell ref="C4:R4"/>
    <mergeCell ref="A5:R5"/>
    <mergeCell ref="N6:P6"/>
    <mergeCell ref="N7:P7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126:D126"/>
    <mergeCell ref="B127:D127"/>
    <mergeCell ref="B128:D128"/>
    <mergeCell ref="B129:D129"/>
    <mergeCell ref="B130:D130"/>
    <mergeCell ref="B131:D131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119:D119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47:D147"/>
    <mergeCell ref="B148:D148"/>
    <mergeCell ref="B149:D149"/>
    <mergeCell ref="B150:D150"/>
    <mergeCell ref="B151:D151"/>
    <mergeCell ref="B152:D152"/>
    <mergeCell ref="B153:D153"/>
    <mergeCell ref="B120:D120"/>
    <mergeCell ref="B121:D121"/>
    <mergeCell ref="B122:D122"/>
    <mergeCell ref="B123:D123"/>
    <mergeCell ref="B124:D124"/>
    <mergeCell ref="B125:D125"/>
    <mergeCell ref="B141:D141"/>
    <mergeCell ref="B142:D142"/>
    <mergeCell ref="B143:D143"/>
    <mergeCell ref="B144:D144"/>
    <mergeCell ref="B146:D146"/>
    <mergeCell ref="B140:D140"/>
    <mergeCell ref="B145:D145"/>
  </mergeCells>
  <phoneticPr fontId="20" type="noConversion"/>
  <printOptions horizontalCentered="1"/>
  <pageMargins left="0.70866141732283472" right="0.70866141732283472" top="0.74803149606299213" bottom="0.74803149606299213" header="0" footer="0"/>
  <pageSetup paperSize="9" orientation="landscape"/>
  <rowBreaks count="1" manualBreakCount="1">
    <brk id="9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999"/>
  <sheetViews>
    <sheetView topLeftCell="A4" zoomScale="86" zoomScaleNormal="40" workbookViewId="0">
      <selection activeCell="B17" sqref="B17:D17"/>
    </sheetView>
  </sheetViews>
  <sheetFormatPr baseColWidth="10" defaultColWidth="10.140625" defaultRowHeight="15" customHeight="1" x14ac:dyDescent="0.2"/>
  <cols>
    <col min="1" max="1" width="11" customWidth="1"/>
    <col min="2" max="2" width="84.42578125" customWidth="1"/>
    <col min="3" max="3" width="28.42578125" customWidth="1"/>
    <col min="4" max="4" width="38.140625" customWidth="1"/>
    <col min="5" max="5" width="14.85546875" customWidth="1"/>
    <col min="6" max="6" width="15.85546875" customWidth="1"/>
    <col min="7" max="7" width="14.85546875" customWidth="1"/>
    <col min="8" max="8" width="13.140625" customWidth="1"/>
    <col min="9" max="9" width="121.5703125" bestFit="1" customWidth="1"/>
    <col min="10" max="10" width="19.85546875" customWidth="1"/>
    <col min="11" max="13" width="20.85546875" customWidth="1"/>
    <col min="14" max="14" width="49" customWidth="1"/>
    <col min="15" max="15" width="42.85546875" customWidth="1"/>
    <col min="16" max="16" width="42.140625" customWidth="1"/>
    <col min="17" max="17" width="34.140625" customWidth="1"/>
    <col min="18" max="18" width="91.140625" customWidth="1"/>
    <col min="19" max="27" width="11" customWidth="1"/>
  </cols>
  <sheetData>
    <row r="1" spans="1:27" ht="34.5" customHeight="1" x14ac:dyDescent="0.2">
      <c r="A1" s="149"/>
      <c r="B1" s="150"/>
      <c r="C1" s="153" t="s">
        <v>0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2"/>
      <c r="Q1" s="153" t="s">
        <v>1</v>
      </c>
      <c r="R1" s="132"/>
      <c r="S1" s="16"/>
      <c r="T1" s="16"/>
      <c r="U1" s="16"/>
      <c r="V1" s="16"/>
      <c r="W1" s="16"/>
      <c r="X1" s="16"/>
      <c r="Y1" s="16"/>
      <c r="Z1" s="16"/>
      <c r="AA1" s="16"/>
    </row>
    <row r="2" spans="1:27" ht="222" customHeight="1" x14ac:dyDescent="0.2">
      <c r="A2" s="151"/>
      <c r="B2" s="152"/>
      <c r="C2" s="153" t="s">
        <v>2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53" t="s">
        <v>3</v>
      </c>
      <c r="R2" s="132"/>
      <c r="S2" s="16"/>
      <c r="T2" s="16"/>
      <c r="U2" s="16"/>
      <c r="V2" s="16"/>
      <c r="W2" s="16"/>
      <c r="X2" s="16"/>
      <c r="Y2" s="16"/>
      <c r="Z2" s="16"/>
      <c r="AA2" s="16"/>
    </row>
    <row r="3" spans="1:27" ht="30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6"/>
      <c r="T3" s="16"/>
      <c r="U3" s="16"/>
      <c r="V3" s="16"/>
      <c r="W3" s="16"/>
      <c r="X3" s="16"/>
      <c r="Y3" s="16"/>
      <c r="Z3" s="16"/>
      <c r="AA3" s="16"/>
    </row>
    <row r="4" spans="1:27" ht="30" customHeight="1" x14ac:dyDescent="0.2">
      <c r="A4" s="3" t="s">
        <v>4</v>
      </c>
      <c r="B4" s="3"/>
      <c r="C4" s="145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2"/>
      <c r="S4" s="16"/>
      <c r="T4" s="16"/>
      <c r="U4" s="16"/>
      <c r="V4" s="16"/>
      <c r="W4" s="16"/>
      <c r="X4" s="16"/>
      <c r="Y4" s="16"/>
      <c r="Z4" s="16"/>
      <c r="AA4" s="16"/>
    </row>
    <row r="5" spans="1:27" ht="30" customHeight="1" x14ac:dyDescent="0.2">
      <c r="A5" s="146" t="s">
        <v>5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2"/>
      <c r="S5" s="16"/>
      <c r="T5" s="16"/>
      <c r="U5" s="16"/>
      <c r="V5" s="16"/>
      <c r="W5" s="16"/>
      <c r="X5" s="16"/>
      <c r="Y5" s="16"/>
      <c r="Z5" s="16"/>
      <c r="AA5" s="16"/>
    </row>
    <row r="6" spans="1:27" ht="30" customHeight="1" x14ac:dyDescent="0.2">
      <c r="A6" s="177" t="s">
        <v>6</v>
      </c>
      <c r="B6" s="131"/>
      <c r="C6" s="131"/>
      <c r="D6" s="132"/>
      <c r="E6" s="177" t="s">
        <v>7</v>
      </c>
      <c r="F6" s="131"/>
      <c r="G6" s="131"/>
      <c r="H6" s="132"/>
      <c r="I6" s="177" t="s">
        <v>8</v>
      </c>
      <c r="J6" s="131"/>
      <c r="K6" s="131"/>
      <c r="L6" s="131"/>
      <c r="M6" s="132"/>
      <c r="N6" s="177" t="s">
        <v>9</v>
      </c>
      <c r="O6" s="131"/>
      <c r="P6" s="132"/>
      <c r="Q6" s="177" t="s">
        <v>10</v>
      </c>
      <c r="R6" s="132"/>
      <c r="S6" s="16"/>
      <c r="T6" s="16"/>
      <c r="U6" s="16"/>
      <c r="V6" s="16"/>
      <c r="W6" s="16"/>
      <c r="X6" s="16"/>
      <c r="Y6" s="16"/>
      <c r="Z6" s="16"/>
      <c r="AA6" s="16"/>
    </row>
    <row r="7" spans="1:27" ht="120" customHeight="1" x14ac:dyDescent="0.2">
      <c r="A7" s="139">
        <f>'DOCUMENTO INTERNO'!A7:D7</f>
        <v>0</v>
      </c>
      <c r="B7" s="140"/>
      <c r="C7" s="140"/>
      <c r="D7" s="141"/>
      <c r="E7" s="139">
        <f>'DOCUMENTO INTERNO'!E7:H7</f>
        <v>0</v>
      </c>
      <c r="F7" s="140"/>
      <c r="G7" s="140"/>
      <c r="H7" s="141"/>
      <c r="I7" s="139">
        <f>'DOCUMENTO INTERNO'!I7:M7</f>
        <v>0</v>
      </c>
      <c r="J7" s="140"/>
      <c r="K7" s="140"/>
      <c r="L7" s="140"/>
      <c r="M7" s="141"/>
      <c r="N7" s="147">
        <f>'DOCUMENTO INTERNO'!N7:P7</f>
        <v>0</v>
      </c>
      <c r="O7" s="140"/>
      <c r="P7" s="141"/>
      <c r="Q7" s="138"/>
      <c r="R7" s="132"/>
      <c r="S7" s="16"/>
      <c r="T7" s="16"/>
      <c r="U7" s="16"/>
      <c r="V7" s="16"/>
      <c r="W7" s="16"/>
      <c r="X7" s="16"/>
      <c r="Y7" s="16"/>
      <c r="Z7" s="16"/>
      <c r="AA7" s="16"/>
    </row>
    <row r="8" spans="1:27" ht="30" customHeight="1" x14ac:dyDescent="0.2">
      <c r="A8" s="130" t="s">
        <v>11</v>
      </c>
      <c r="B8" s="131"/>
      <c r="C8" s="132"/>
      <c r="D8" s="153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2"/>
      <c r="S8" s="16"/>
      <c r="T8" s="16"/>
      <c r="U8" s="16"/>
      <c r="V8" s="16"/>
      <c r="W8" s="16"/>
      <c r="X8" s="16"/>
      <c r="Y8" s="16"/>
      <c r="Z8" s="16"/>
      <c r="AA8" s="16"/>
    </row>
    <row r="9" spans="1:27" ht="30" customHeight="1" x14ac:dyDescent="0.2">
      <c r="A9" s="130" t="s">
        <v>12</v>
      </c>
      <c r="B9" s="131"/>
      <c r="C9" s="131"/>
      <c r="D9" s="131"/>
      <c r="E9" s="131"/>
      <c r="F9" s="131"/>
      <c r="G9" s="131"/>
      <c r="H9" s="131"/>
      <c r="I9" s="132"/>
      <c r="J9" s="130" t="s">
        <v>13</v>
      </c>
      <c r="K9" s="131"/>
      <c r="L9" s="131"/>
      <c r="M9" s="131"/>
      <c r="N9" s="131"/>
      <c r="O9" s="131"/>
      <c r="P9" s="131"/>
      <c r="Q9" s="131"/>
      <c r="R9" s="132"/>
      <c r="S9" s="16"/>
      <c r="T9" s="16"/>
      <c r="U9" s="16"/>
      <c r="V9" s="16"/>
      <c r="W9" s="16"/>
      <c r="X9" s="16"/>
      <c r="Y9" s="16"/>
      <c r="Z9" s="16"/>
      <c r="AA9" s="16"/>
    </row>
    <row r="10" spans="1:27" ht="30" customHeight="1" x14ac:dyDescent="0.2">
      <c r="A10" s="133"/>
      <c r="B10" s="131"/>
      <c r="C10" s="131"/>
      <c r="D10" s="131"/>
      <c r="E10" s="131"/>
      <c r="F10" s="131"/>
      <c r="G10" s="131"/>
      <c r="H10" s="131"/>
      <c r="I10" s="132"/>
      <c r="J10" s="134"/>
      <c r="K10" s="131"/>
      <c r="L10" s="131"/>
      <c r="M10" s="131"/>
      <c r="N10" s="131"/>
      <c r="O10" s="131"/>
      <c r="P10" s="131"/>
      <c r="Q10" s="131"/>
      <c r="R10" s="132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4.5" customHeight="1" x14ac:dyDescent="0.2">
      <c r="A11" s="4" t="s">
        <v>14</v>
      </c>
      <c r="B11" s="130" t="s">
        <v>15</v>
      </c>
      <c r="C11" s="131"/>
      <c r="D11" s="132"/>
      <c r="E11" s="5" t="s">
        <v>16</v>
      </c>
      <c r="F11" s="5" t="s">
        <v>17</v>
      </c>
      <c r="G11" s="5" t="s">
        <v>18</v>
      </c>
      <c r="H11" s="4" t="s">
        <v>19</v>
      </c>
      <c r="I11" s="4" t="s">
        <v>20</v>
      </c>
      <c r="J11" s="4" t="s">
        <v>21</v>
      </c>
      <c r="K11" s="6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Q11" s="4" t="s">
        <v>28</v>
      </c>
      <c r="R11" s="4" t="s">
        <v>29</v>
      </c>
      <c r="S11" s="2"/>
      <c r="T11" s="2"/>
      <c r="U11" s="2"/>
      <c r="V11" s="2"/>
      <c r="W11" s="2"/>
      <c r="X11" s="2"/>
      <c r="Y11" s="2"/>
      <c r="Z11" s="2"/>
      <c r="AA11" s="2"/>
    </row>
    <row r="12" spans="1:27" ht="30" customHeight="1" x14ac:dyDescent="0.2">
      <c r="A12" s="50">
        <v>1</v>
      </c>
      <c r="B12" s="170" t="s">
        <v>300</v>
      </c>
      <c r="C12" s="123"/>
      <c r="D12" s="124"/>
      <c r="E12" s="8" t="s">
        <v>458</v>
      </c>
      <c r="F12" s="8" t="s">
        <v>301</v>
      </c>
      <c r="G12" s="9" t="s">
        <v>33</v>
      </c>
      <c r="H12" s="10" t="s">
        <v>34</v>
      </c>
      <c r="I12" s="8" t="str">
        <f>_xlfn.CONCAT(B12," ",E12,"-",F12,"-",G12," Ver. ",H12," de fecha 7/07/2025")</f>
        <v>MATRIZ DE PARTES INTERESADAS GSI-MZ-001 Ver. 00 de fecha 7/07/2025</v>
      </c>
      <c r="J12" s="49"/>
      <c r="K12" s="11" t="s">
        <v>302</v>
      </c>
      <c r="L12" s="8" t="s">
        <v>36</v>
      </c>
      <c r="M12" s="11" t="s">
        <v>303</v>
      </c>
      <c r="N12" s="11" t="s">
        <v>38</v>
      </c>
      <c r="O12" s="11" t="s">
        <v>91</v>
      </c>
      <c r="P12" s="11" t="s">
        <v>40</v>
      </c>
      <c r="Q12" s="11" t="s">
        <v>41</v>
      </c>
      <c r="R12" s="52" t="s">
        <v>394</v>
      </c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0" customHeight="1" x14ac:dyDescent="0.2">
      <c r="A13" s="50">
        <v>2</v>
      </c>
      <c r="B13" s="170" t="s">
        <v>304</v>
      </c>
      <c r="C13" s="123"/>
      <c r="D13" s="124"/>
      <c r="E13" s="8" t="s">
        <v>458</v>
      </c>
      <c r="F13" s="8" t="s">
        <v>301</v>
      </c>
      <c r="G13" s="9" t="s">
        <v>43</v>
      </c>
      <c r="H13" s="10" t="s">
        <v>34</v>
      </c>
      <c r="I13" s="8" t="str">
        <f t="shared" ref="I13:I18" si="0">_xlfn.CONCAT(B13," ",E13,"-",F13,"-",G13," Ver. ",H13," de fecha 7/07/2025")</f>
        <v>MATRIZ DE RIESGOS Y OPORTUNIDADES GSI-MZ-002 Ver. 00 de fecha 7/07/2025</v>
      </c>
      <c r="J13" s="49"/>
      <c r="K13" s="11" t="s">
        <v>302</v>
      </c>
      <c r="L13" s="8" t="s">
        <v>36</v>
      </c>
      <c r="M13" s="11" t="s">
        <v>303</v>
      </c>
      <c r="N13" s="11" t="s">
        <v>38</v>
      </c>
      <c r="O13" s="11" t="s">
        <v>91</v>
      </c>
      <c r="P13" s="11" t="s">
        <v>40</v>
      </c>
      <c r="Q13" s="11" t="s">
        <v>41</v>
      </c>
      <c r="R13" s="52" t="s">
        <v>394</v>
      </c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30" customHeight="1" x14ac:dyDescent="0.2">
      <c r="A14" s="50">
        <v>3</v>
      </c>
      <c r="B14" s="170" t="s">
        <v>305</v>
      </c>
      <c r="C14" s="123"/>
      <c r="D14" s="124"/>
      <c r="E14" s="8" t="s">
        <v>458</v>
      </c>
      <c r="F14" s="8" t="s">
        <v>301</v>
      </c>
      <c r="G14" s="9" t="s">
        <v>45</v>
      </c>
      <c r="H14" s="10" t="s">
        <v>34</v>
      </c>
      <c r="I14" s="8" t="str">
        <f t="shared" si="0"/>
        <v>MATRIZ DE COMUNICACIONES GSI-MZ-003 Ver. 00 de fecha 7/07/2025</v>
      </c>
      <c r="J14" s="49"/>
      <c r="K14" s="11" t="s">
        <v>302</v>
      </c>
      <c r="L14" s="8" t="s">
        <v>36</v>
      </c>
      <c r="M14" s="11" t="s">
        <v>303</v>
      </c>
      <c r="N14" s="11" t="s">
        <v>38</v>
      </c>
      <c r="O14" s="11" t="s">
        <v>91</v>
      </c>
      <c r="P14" s="11" t="s">
        <v>40</v>
      </c>
      <c r="Q14" s="11" t="s">
        <v>41</v>
      </c>
      <c r="R14" s="52" t="s">
        <v>394</v>
      </c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48.75" customHeight="1" x14ac:dyDescent="0.2">
      <c r="A15" s="70">
        <v>4</v>
      </c>
      <c r="B15" s="186" t="s">
        <v>306</v>
      </c>
      <c r="C15" s="187"/>
      <c r="D15" s="188"/>
      <c r="E15" s="8" t="s">
        <v>458</v>
      </c>
      <c r="F15" s="26" t="s">
        <v>301</v>
      </c>
      <c r="G15" s="71" t="s">
        <v>47</v>
      </c>
      <c r="H15" s="29" t="s">
        <v>34</v>
      </c>
      <c r="I15" s="8" t="str">
        <f t="shared" si="0"/>
        <v>MATRIZ DE REQUISITOS LEGALES  GSI-MZ-004 Ver. 00 de fecha 7/07/2025</v>
      </c>
      <c r="J15" s="72"/>
      <c r="K15" s="30" t="s">
        <v>302</v>
      </c>
      <c r="L15" s="26" t="s">
        <v>36</v>
      </c>
      <c r="M15" s="30" t="s">
        <v>65</v>
      </c>
      <c r="N15" s="30" t="s">
        <v>38</v>
      </c>
      <c r="O15" s="30" t="s">
        <v>91</v>
      </c>
      <c r="P15" s="30" t="s">
        <v>40</v>
      </c>
      <c r="Q15" s="30" t="s">
        <v>41</v>
      </c>
      <c r="R15" s="73" t="s">
        <v>394</v>
      </c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75" customHeight="1" x14ac:dyDescent="0.2">
      <c r="A16" s="74">
        <v>5</v>
      </c>
      <c r="B16" s="181" t="s">
        <v>119</v>
      </c>
      <c r="C16" s="181"/>
      <c r="D16" s="182"/>
      <c r="E16" s="8" t="s">
        <v>458</v>
      </c>
      <c r="F16" s="76" t="s">
        <v>301</v>
      </c>
      <c r="G16" s="79" t="s">
        <v>120</v>
      </c>
      <c r="H16" s="77" t="s">
        <v>34</v>
      </c>
      <c r="I16" s="8" t="str">
        <f t="shared" si="0"/>
        <v>REGISTRO ANUAL DE OBJETIVOS E INDICADORES DEL SIG GSI-MZ-017 Ver. 00 de fecha 7/07/2025</v>
      </c>
      <c r="J16" s="82"/>
      <c r="K16" s="83" t="s">
        <v>302</v>
      </c>
      <c r="L16" s="81" t="s">
        <v>36</v>
      </c>
      <c r="M16" s="75" t="s">
        <v>65</v>
      </c>
      <c r="N16" s="75" t="s">
        <v>38</v>
      </c>
      <c r="O16" s="75" t="s">
        <v>91</v>
      </c>
      <c r="P16" s="86" t="s">
        <v>40</v>
      </c>
      <c r="Q16" s="87" t="s">
        <v>343</v>
      </c>
      <c r="R16" s="88" t="s">
        <v>396</v>
      </c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50.25" customHeight="1" x14ac:dyDescent="0.2">
      <c r="A17" s="63">
        <v>6</v>
      </c>
      <c r="B17" s="178" t="s">
        <v>307</v>
      </c>
      <c r="C17" s="179"/>
      <c r="D17" s="180"/>
      <c r="E17" s="8" t="s">
        <v>458</v>
      </c>
      <c r="F17" s="80" t="s">
        <v>301</v>
      </c>
      <c r="G17" s="79" t="s">
        <v>33</v>
      </c>
      <c r="H17" s="77" t="s">
        <v>34</v>
      </c>
      <c r="I17" s="8" t="str">
        <f t="shared" si="0"/>
        <v>MATRIZ DE IDENTIFICACIÓN DE PELIGROS, EVALUACIÓN DE RIESGOS Y DETERMINACIÓN DE CONTROLES GSI-MZ-001 Ver. 00 de fecha 7/07/2025</v>
      </c>
      <c r="J17" s="85"/>
      <c r="K17" s="84" t="s">
        <v>58</v>
      </c>
      <c r="L17" s="80" t="s">
        <v>59</v>
      </c>
      <c r="M17" s="75" t="s">
        <v>65</v>
      </c>
      <c r="N17" s="75" t="s">
        <v>38</v>
      </c>
      <c r="O17" s="75" t="s">
        <v>91</v>
      </c>
      <c r="P17" s="86" t="s">
        <v>40</v>
      </c>
      <c r="Q17" s="87" t="s">
        <v>41</v>
      </c>
      <c r="R17" s="88" t="s">
        <v>394</v>
      </c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8.75" customHeight="1" x14ac:dyDescent="0.2">
      <c r="A18" s="50">
        <v>7</v>
      </c>
      <c r="B18" s="183" t="s">
        <v>308</v>
      </c>
      <c r="C18" s="184"/>
      <c r="D18" s="185"/>
      <c r="E18" s="8" t="s">
        <v>458</v>
      </c>
      <c r="F18" s="64" t="s">
        <v>301</v>
      </c>
      <c r="G18" s="65" t="s">
        <v>33</v>
      </c>
      <c r="H18" s="66" t="s">
        <v>34</v>
      </c>
      <c r="I18" s="8" t="str">
        <f t="shared" si="0"/>
        <v>MATRIZ DE IDENTIFICACIÓN DE ASPECTOS Y EVALUACIÓN DE IMPACTOS AMBIENTALES GSI-MZ-001 Ver. 00 de fecha 7/07/2025</v>
      </c>
      <c r="J18" s="67"/>
      <c r="K18" s="68" t="s">
        <v>58</v>
      </c>
      <c r="L18" s="64" t="s">
        <v>59</v>
      </c>
      <c r="M18" s="68" t="s">
        <v>75</v>
      </c>
      <c r="N18" s="68" t="s">
        <v>38</v>
      </c>
      <c r="O18" s="68" t="s">
        <v>91</v>
      </c>
      <c r="P18" s="68" t="s">
        <v>40</v>
      </c>
      <c r="Q18" s="68" t="s">
        <v>41</v>
      </c>
      <c r="R18" s="69" t="s">
        <v>394</v>
      </c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8.75" customHeight="1" x14ac:dyDescent="0.2">
      <c r="A19" s="22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39.75" customHeight="1" thickBot="1" x14ac:dyDescent="0.25">
      <c r="A20" s="22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25.5" customHeight="1" thickBot="1" x14ac:dyDescent="0.25">
      <c r="A21" s="56" t="s">
        <v>83</v>
      </c>
      <c r="B21" s="54"/>
      <c r="C21" s="54"/>
      <c r="D21" s="54"/>
      <c r="E21" s="54"/>
      <c r="F21" s="54"/>
      <c r="G21" s="54"/>
      <c r="H21" s="54"/>
      <c r="I21" s="54"/>
      <c r="J21" s="5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26.25" customHeight="1" thickBot="1" x14ac:dyDescent="0.25">
      <c r="A22" s="57" t="s">
        <v>84</v>
      </c>
      <c r="B22" s="54"/>
      <c r="C22" s="58"/>
      <c r="D22" s="59"/>
      <c r="E22" s="54"/>
      <c r="F22" s="54"/>
      <c r="G22" s="54"/>
      <c r="H22" s="54"/>
      <c r="I22" s="54"/>
      <c r="J22" s="5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28.5" customHeight="1" thickBot="1" x14ac:dyDescent="0.25">
      <c r="A23" s="57" t="s">
        <v>85</v>
      </c>
      <c r="B23" s="54"/>
      <c r="C23" s="58"/>
      <c r="D23" s="53"/>
      <c r="E23" s="54"/>
      <c r="F23" s="54"/>
      <c r="G23" s="54"/>
      <c r="H23" s="54"/>
      <c r="I23" s="54"/>
      <c r="J23" s="5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67.5" customHeight="1" thickBot="1" x14ac:dyDescent="0.25">
      <c r="A24" s="57" t="s">
        <v>86</v>
      </c>
      <c r="B24" s="54"/>
      <c r="C24" s="58"/>
      <c r="D24" s="61"/>
      <c r="E24" s="60"/>
      <c r="F24" s="60"/>
      <c r="G24" s="60"/>
      <c r="H24" s="60"/>
      <c r="I24" s="60"/>
      <c r="J24" s="62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8.75" customHeight="1" thickBot="1" x14ac:dyDescent="0.25">
      <c r="A25" s="57" t="s">
        <v>87</v>
      </c>
      <c r="B25" s="54"/>
      <c r="C25" s="58"/>
      <c r="D25" s="53"/>
      <c r="E25" s="54"/>
      <c r="F25" s="54"/>
      <c r="G25" s="54"/>
      <c r="H25" s="54"/>
      <c r="I25" s="54"/>
      <c r="J25" s="5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8.75" customHeight="1" x14ac:dyDescent="0.2">
      <c r="A26" s="22"/>
      <c r="B26" s="16"/>
      <c r="C26" s="23"/>
      <c r="D26" s="24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8.75" customHeight="1" x14ac:dyDescent="0.2">
      <c r="A27" s="22"/>
      <c r="B27" s="16"/>
      <c r="C27" s="23"/>
      <c r="D27" s="2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8.75" customHeight="1" x14ac:dyDescent="0.2">
      <c r="A28" s="22"/>
      <c r="B28" s="16"/>
      <c r="C28" s="23"/>
      <c r="D28" s="24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8.75" customHeight="1" x14ac:dyDescent="0.2">
      <c r="A29" s="22"/>
      <c r="B29" s="16"/>
      <c r="C29" s="23"/>
      <c r="D29" s="24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8.75" customHeight="1" x14ac:dyDescent="0.2">
      <c r="A30" s="22"/>
      <c r="B30" s="16"/>
      <c r="C30" s="23"/>
      <c r="D30" s="24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8.75" customHeight="1" x14ac:dyDescent="0.2">
      <c r="A31" s="22"/>
      <c r="B31" s="16"/>
      <c r="C31" s="23"/>
      <c r="D31" s="24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8.75" customHeight="1" x14ac:dyDescent="0.2">
      <c r="A32" s="22"/>
      <c r="B32" s="16"/>
      <c r="C32" s="23"/>
      <c r="D32" s="24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8.75" customHeight="1" x14ac:dyDescent="0.2">
      <c r="A33" s="22"/>
      <c r="B33" s="16"/>
      <c r="C33" s="23"/>
      <c r="D33" s="24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8.75" customHeight="1" x14ac:dyDescent="0.2">
      <c r="A34" s="22"/>
      <c r="B34" s="16"/>
      <c r="C34" s="23"/>
      <c r="D34" s="24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8.75" customHeight="1" x14ac:dyDescent="0.2">
      <c r="A35" s="22"/>
      <c r="B35" s="16"/>
      <c r="C35" s="23"/>
      <c r="D35" s="24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8.75" customHeight="1" x14ac:dyDescent="0.2">
      <c r="A36" s="22"/>
      <c r="B36" s="16"/>
      <c r="C36" s="23"/>
      <c r="D36" s="24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8.75" customHeight="1" x14ac:dyDescent="0.2">
      <c r="A37" s="22"/>
      <c r="B37" s="16"/>
      <c r="C37" s="23"/>
      <c r="D37" s="2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8.75" customHeight="1" x14ac:dyDescent="0.2">
      <c r="A38" s="22"/>
      <c r="B38" s="16"/>
      <c r="C38" s="23"/>
      <c r="D38" s="24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8.75" customHeight="1" x14ac:dyDescent="0.2">
      <c r="A39" s="22"/>
      <c r="B39" s="16"/>
      <c r="C39" s="23"/>
      <c r="D39" s="24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8.75" customHeight="1" x14ac:dyDescent="0.2">
      <c r="A40" s="22"/>
      <c r="B40" s="16"/>
      <c r="C40" s="23"/>
      <c r="D40" s="24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8.75" customHeight="1" x14ac:dyDescent="0.2">
      <c r="A41" s="22"/>
      <c r="B41" s="16"/>
      <c r="C41" s="23"/>
      <c r="D41" s="24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8.75" customHeight="1" x14ac:dyDescent="0.2">
      <c r="A42" s="22"/>
      <c r="B42" s="16"/>
      <c r="C42" s="23"/>
      <c r="D42" s="24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8.75" customHeight="1" x14ac:dyDescent="0.2">
      <c r="A43" s="22"/>
      <c r="B43" s="16"/>
      <c r="C43" s="23"/>
      <c r="D43" s="24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8.75" customHeight="1" x14ac:dyDescent="0.2">
      <c r="A44" s="22"/>
      <c r="B44" s="16"/>
      <c r="C44" s="23"/>
      <c r="D44" s="24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8.75" customHeight="1" x14ac:dyDescent="0.2">
      <c r="A45" s="22"/>
      <c r="B45" s="16"/>
      <c r="C45" s="23"/>
      <c r="D45" s="24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8.75" customHeight="1" x14ac:dyDescent="0.2">
      <c r="A46" s="22"/>
      <c r="B46" s="16"/>
      <c r="C46" s="23"/>
      <c r="D46" s="2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8.75" customHeight="1" x14ac:dyDescent="0.2">
      <c r="A47" s="22"/>
      <c r="B47" s="16"/>
      <c r="C47" s="23"/>
      <c r="D47" s="2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8.75" customHeight="1" x14ac:dyDescent="0.2">
      <c r="A48" s="22"/>
      <c r="B48" s="16"/>
      <c r="C48" s="23"/>
      <c r="D48" s="24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8.75" customHeight="1" x14ac:dyDescent="0.2">
      <c r="A49" s="22"/>
      <c r="B49" s="16"/>
      <c r="C49" s="23"/>
      <c r="D49" s="24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8.75" customHeight="1" x14ac:dyDescent="0.2">
      <c r="A50" s="22"/>
      <c r="B50" s="16"/>
      <c r="C50" s="23"/>
      <c r="D50" s="24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8.75" customHeight="1" x14ac:dyDescent="0.2">
      <c r="A51" s="22"/>
      <c r="B51" s="16"/>
      <c r="C51" s="23"/>
      <c r="D51" s="24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8.75" customHeight="1" x14ac:dyDescent="0.2">
      <c r="A52" s="22"/>
      <c r="B52" s="16"/>
      <c r="C52" s="23"/>
      <c r="D52" s="24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8.75" customHeight="1" x14ac:dyDescent="0.2">
      <c r="A53" s="22"/>
      <c r="B53" s="16"/>
      <c r="C53" s="23"/>
      <c r="D53" s="24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8.75" customHeight="1" x14ac:dyDescent="0.2">
      <c r="A54" s="22"/>
      <c r="B54" s="16"/>
      <c r="C54" s="23"/>
      <c r="D54" s="24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8.75" customHeight="1" x14ac:dyDescent="0.2">
      <c r="A55" s="22"/>
      <c r="B55" s="16"/>
      <c r="C55" s="23"/>
      <c r="D55" s="24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8.75" customHeight="1" x14ac:dyDescent="0.2">
      <c r="A56" s="22"/>
      <c r="B56" s="16"/>
      <c r="C56" s="23"/>
      <c r="D56" s="24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8.75" customHeight="1" x14ac:dyDescent="0.2">
      <c r="A57" s="22"/>
      <c r="B57" s="16"/>
      <c r="C57" s="23"/>
      <c r="D57" s="24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8.75" customHeight="1" x14ac:dyDescent="0.2">
      <c r="A58" s="22"/>
      <c r="B58" s="16"/>
      <c r="C58" s="23"/>
      <c r="D58" s="2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8.75" customHeight="1" x14ac:dyDescent="0.2">
      <c r="A59" s="22"/>
      <c r="B59" s="16"/>
      <c r="C59" s="23"/>
      <c r="D59" s="2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8.75" customHeight="1" x14ac:dyDescent="0.2">
      <c r="A60" s="22"/>
      <c r="B60" s="16"/>
      <c r="C60" s="23"/>
      <c r="D60" s="24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8.75" customHeight="1" x14ac:dyDescent="0.2">
      <c r="A61" s="22"/>
      <c r="B61" s="16"/>
      <c r="C61" s="23"/>
      <c r="D61" s="24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8.75" customHeight="1" x14ac:dyDescent="0.2">
      <c r="A62" s="22"/>
      <c r="B62" s="16"/>
      <c r="C62" s="23"/>
      <c r="D62" s="24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8.75" customHeight="1" x14ac:dyDescent="0.2">
      <c r="A63" s="22"/>
      <c r="B63" s="16"/>
      <c r="C63" s="23"/>
      <c r="D63" s="24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8.75" customHeight="1" x14ac:dyDescent="0.2">
      <c r="A64" s="22"/>
      <c r="B64" s="16"/>
      <c r="C64" s="23"/>
      <c r="D64" s="24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8.75" customHeight="1" x14ac:dyDescent="0.2">
      <c r="A65" s="22"/>
      <c r="B65" s="16"/>
      <c r="C65" s="23"/>
      <c r="D65" s="24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8.75" customHeight="1" x14ac:dyDescent="0.2">
      <c r="A66" s="22"/>
      <c r="B66" s="16"/>
      <c r="C66" s="23"/>
      <c r="D66" s="24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8.75" customHeight="1" x14ac:dyDescent="0.2">
      <c r="A67" s="22"/>
      <c r="B67" s="16"/>
      <c r="C67" s="23"/>
      <c r="D67" s="24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8.75" customHeight="1" x14ac:dyDescent="0.2">
      <c r="A68" s="22"/>
      <c r="B68" s="16"/>
      <c r="C68" s="23"/>
      <c r="D68" s="24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8.75" customHeight="1" x14ac:dyDescent="0.2">
      <c r="A69" s="22"/>
      <c r="B69" s="16"/>
      <c r="C69" s="23"/>
      <c r="D69" s="2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8.75" customHeight="1" x14ac:dyDescent="0.2">
      <c r="A70" s="22"/>
      <c r="B70" s="16"/>
      <c r="C70" s="23"/>
      <c r="D70" s="24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8.75" customHeight="1" x14ac:dyDescent="0.2">
      <c r="A71" s="22"/>
      <c r="B71" s="16"/>
      <c r="C71" s="23"/>
      <c r="D71" s="24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8.75" customHeight="1" x14ac:dyDescent="0.2">
      <c r="A72" s="22"/>
      <c r="B72" s="16"/>
      <c r="C72" s="23"/>
      <c r="D72" s="24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8.75" customHeight="1" x14ac:dyDescent="0.2">
      <c r="A73" s="22"/>
      <c r="B73" s="16"/>
      <c r="C73" s="23"/>
      <c r="D73" s="24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8.75" customHeight="1" x14ac:dyDescent="0.2">
      <c r="A74" s="22"/>
      <c r="B74" s="16"/>
      <c r="C74" s="23"/>
      <c r="D74" s="24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8.75" customHeight="1" x14ac:dyDescent="0.2">
      <c r="A75" s="22"/>
      <c r="B75" s="16"/>
      <c r="C75" s="23"/>
      <c r="D75" s="24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8.75" customHeight="1" x14ac:dyDescent="0.2">
      <c r="A76" s="22"/>
      <c r="B76" s="16"/>
      <c r="C76" s="23"/>
      <c r="D76" s="24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8.75" customHeight="1" x14ac:dyDescent="0.2">
      <c r="A77" s="22"/>
      <c r="B77" s="16"/>
      <c r="C77" s="23"/>
      <c r="D77" s="24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8.75" customHeight="1" x14ac:dyDescent="0.2">
      <c r="A78" s="22"/>
      <c r="B78" s="16"/>
      <c r="C78" s="23"/>
      <c r="D78" s="24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8.75" customHeight="1" x14ac:dyDescent="0.2">
      <c r="A79" s="22"/>
      <c r="B79" s="16"/>
      <c r="C79" s="23"/>
      <c r="D79" s="24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8.75" customHeight="1" x14ac:dyDescent="0.2">
      <c r="A80" s="22"/>
      <c r="B80" s="16"/>
      <c r="C80" s="23"/>
      <c r="D80" s="24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8.75" customHeight="1" x14ac:dyDescent="0.2">
      <c r="A81" s="22"/>
      <c r="B81" s="16"/>
      <c r="C81" s="23"/>
      <c r="D81" s="24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8.75" customHeight="1" x14ac:dyDescent="0.2">
      <c r="A82" s="22"/>
      <c r="B82" s="16"/>
      <c r="C82" s="23"/>
      <c r="D82" s="24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8.75" customHeight="1" x14ac:dyDescent="0.2">
      <c r="A83" s="22"/>
      <c r="B83" s="16"/>
      <c r="C83" s="23"/>
      <c r="D83" s="24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8.75" customHeight="1" x14ac:dyDescent="0.2">
      <c r="A84" s="22"/>
      <c r="B84" s="16"/>
      <c r="C84" s="23"/>
      <c r="D84" s="24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8.75" customHeight="1" x14ac:dyDescent="0.2">
      <c r="A85" s="22"/>
      <c r="B85" s="16"/>
      <c r="C85" s="23"/>
      <c r="D85" s="24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8.75" customHeight="1" x14ac:dyDescent="0.2">
      <c r="A86" s="22"/>
      <c r="B86" s="16"/>
      <c r="C86" s="23"/>
      <c r="D86" s="24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8.75" customHeight="1" x14ac:dyDescent="0.2">
      <c r="A87" s="22"/>
      <c r="B87" s="16"/>
      <c r="C87" s="23"/>
      <c r="D87" s="24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8.75" customHeight="1" x14ac:dyDescent="0.2">
      <c r="A88" s="22"/>
      <c r="B88" s="16"/>
      <c r="C88" s="23"/>
      <c r="D88" s="24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8.75" customHeight="1" x14ac:dyDescent="0.2">
      <c r="A89" s="22"/>
      <c r="B89" s="16"/>
      <c r="C89" s="23"/>
      <c r="D89" s="24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8.75" customHeight="1" x14ac:dyDescent="0.2">
      <c r="A90" s="22"/>
      <c r="B90" s="16"/>
      <c r="C90" s="23"/>
      <c r="D90" s="24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8.75" customHeight="1" x14ac:dyDescent="0.2">
      <c r="A91" s="22"/>
      <c r="B91" s="16"/>
      <c r="C91" s="23"/>
      <c r="D91" s="24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8.75" customHeight="1" x14ac:dyDescent="0.2">
      <c r="A92" s="22"/>
      <c r="B92" s="16"/>
      <c r="C92" s="23"/>
      <c r="D92" s="24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8.75" customHeight="1" x14ac:dyDescent="0.2">
      <c r="A93" s="22"/>
      <c r="B93" s="16"/>
      <c r="C93" s="23"/>
      <c r="D93" s="24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8.75" customHeight="1" x14ac:dyDescent="0.2">
      <c r="A94" s="22"/>
      <c r="B94" s="16"/>
      <c r="C94" s="23"/>
      <c r="D94" s="24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8.75" customHeight="1" x14ac:dyDescent="0.2">
      <c r="A95" s="22"/>
      <c r="B95" s="16"/>
      <c r="C95" s="23"/>
      <c r="D95" s="24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8.75" customHeight="1" x14ac:dyDescent="0.2">
      <c r="A96" s="22"/>
      <c r="B96" s="16"/>
      <c r="C96" s="23"/>
      <c r="D96" s="24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8.75" customHeight="1" x14ac:dyDescent="0.2">
      <c r="A97" s="22"/>
      <c r="B97" s="16"/>
      <c r="C97" s="23"/>
      <c r="D97" s="24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8.75" customHeight="1" x14ac:dyDescent="0.2">
      <c r="A98" s="22"/>
      <c r="B98" s="16"/>
      <c r="C98" s="23"/>
      <c r="D98" s="24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8.75" customHeight="1" x14ac:dyDescent="0.2">
      <c r="A99" s="22"/>
      <c r="B99" s="16"/>
      <c r="C99" s="23"/>
      <c r="D99" s="24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8.75" customHeight="1" x14ac:dyDescent="0.2">
      <c r="A100" s="22"/>
      <c r="B100" s="16"/>
      <c r="C100" s="23"/>
      <c r="D100" s="24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8.75" customHeight="1" x14ac:dyDescent="0.2">
      <c r="A101" s="22"/>
      <c r="B101" s="16"/>
      <c r="C101" s="23"/>
      <c r="D101" s="24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8.75" customHeight="1" x14ac:dyDescent="0.2">
      <c r="A102" s="22"/>
      <c r="B102" s="16"/>
      <c r="C102" s="23"/>
      <c r="D102" s="24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8.75" customHeight="1" x14ac:dyDescent="0.2">
      <c r="A103" s="22"/>
      <c r="B103" s="16"/>
      <c r="C103" s="23"/>
      <c r="D103" s="24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8.75" customHeight="1" x14ac:dyDescent="0.2">
      <c r="A104" s="22"/>
      <c r="B104" s="16"/>
      <c r="C104" s="23"/>
      <c r="D104" s="24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8.75" customHeight="1" x14ac:dyDescent="0.2">
      <c r="A105" s="22"/>
      <c r="B105" s="16"/>
      <c r="C105" s="23"/>
      <c r="D105" s="24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8.75" customHeight="1" x14ac:dyDescent="0.2">
      <c r="A106" s="22"/>
      <c r="B106" s="16"/>
      <c r="C106" s="23"/>
      <c r="D106" s="24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8.75" customHeight="1" x14ac:dyDescent="0.2">
      <c r="A107" s="22"/>
      <c r="B107" s="16"/>
      <c r="C107" s="23"/>
      <c r="D107" s="24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8.75" customHeight="1" x14ac:dyDescent="0.2">
      <c r="A108" s="22"/>
      <c r="B108" s="16"/>
      <c r="C108" s="23"/>
      <c r="D108" s="24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8.75" customHeight="1" x14ac:dyDescent="0.2">
      <c r="A109" s="22"/>
      <c r="B109" s="16"/>
      <c r="C109" s="23"/>
      <c r="D109" s="24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8.75" customHeight="1" x14ac:dyDescent="0.2">
      <c r="A110" s="22"/>
      <c r="B110" s="16"/>
      <c r="C110" s="23"/>
      <c r="D110" s="24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8.75" customHeight="1" x14ac:dyDescent="0.2">
      <c r="A111" s="22"/>
      <c r="B111" s="16"/>
      <c r="C111" s="23"/>
      <c r="D111" s="24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8.75" customHeight="1" x14ac:dyDescent="0.2">
      <c r="A112" s="22"/>
      <c r="B112" s="16"/>
      <c r="C112" s="23"/>
      <c r="D112" s="24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8.75" customHeight="1" x14ac:dyDescent="0.2">
      <c r="A113" s="22"/>
      <c r="B113" s="16"/>
      <c r="C113" s="23"/>
      <c r="D113" s="24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8.75" customHeight="1" x14ac:dyDescent="0.2">
      <c r="A114" s="22"/>
      <c r="B114" s="16"/>
      <c r="C114" s="23"/>
      <c r="D114" s="24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8.75" customHeight="1" x14ac:dyDescent="0.2">
      <c r="A115" s="22"/>
      <c r="B115" s="16"/>
      <c r="C115" s="23"/>
      <c r="D115" s="24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8.75" customHeight="1" x14ac:dyDescent="0.2">
      <c r="A116" s="22"/>
      <c r="B116" s="16"/>
      <c r="C116" s="23"/>
      <c r="D116" s="24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8.75" customHeight="1" x14ac:dyDescent="0.2">
      <c r="A117" s="22"/>
      <c r="B117" s="16"/>
      <c r="C117" s="23"/>
      <c r="D117" s="24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8.75" customHeight="1" x14ac:dyDescent="0.2">
      <c r="A118" s="22"/>
      <c r="B118" s="16"/>
      <c r="C118" s="23"/>
      <c r="D118" s="24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8.75" customHeight="1" x14ac:dyDescent="0.2">
      <c r="A119" s="22"/>
      <c r="B119" s="16"/>
      <c r="C119" s="23"/>
      <c r="D119" s="24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8.75" customHeight="1" x14ac:dyDescent="0.2">
      <c r="A120" s="22"/>
      <c r="B120" s="16"/>
      <c r="C120" s="23"/>
      <c r="D120" s="24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8.75" customHeight="1" x14ac:dyDescent="0.2">
      <c r="A121" s="22"/>
      <c r="B121" s="16"/>
      <c r="C121" s="23"/>
      <c r="D121" s="24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8.75" customHeight="1" x14ac:dyDescent="0.2">
      <c r="A122" s="22"/>
      <c r="B122" s="16"/>
      <c r="C122" s="23"/>
      <c r="D122" s="24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8.75" customHeight="1" x14ac:dyDescent="0.2">
      <c r="A123" s="22"/>
      <c r="B123" s="16"/>
      <c r="C123" s="23"/>
      <c r="D123" s="24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8.75" customHeight="1" x14ac:dyDescent="0.2">
      <c r="A124" s="22"/>
      <c r="B124" s="16"/>
      <c r="C124" s="23"/>
      <c r="D124" s="24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8.75" customHeight="1" x14ac:dyDescent="0.2">
      <c r="A125" s="22"/>
      <c r="B125" s="16"/>
      <c r="C125" s="23"/>
      <c r="D125" s="24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8.75" customHeight="1" x14ac:dyDescent="0.2">
      <c r="A126" s="22"/>
      <c r="B126" s="16"/>
      <c r="C126" s="23"/>
      <c r="D126" s="24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8.75" customHeight="1" x14ac:dyDescent="0.2">
      <c r="A127" s="22"/>
      <c r="B127" s="16"/>
      <c r="C127" s="23"/>
      <c r="D127" s="24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8.75" customHeight="1" x14ac:dyDescent="0.2">
      <c r="A128" s="22"/>
      <c r="B128" s="16"/>
      <c r="C128" s="23"/>
      <c r="D128" s="24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8.75" customHeight="1" x14ac:dyDescent="0.2">
      <c r="A129" s="22"/>
      <c r="B129" s="16"/>
      <c r="C129" s="23"/>
      <c r="D129" s="24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8.75" customHeight="1" x14ac:dyDescent="0.2">
      <c r="A130" s="22"/>
      <c r="B130" s="16"/>
      <c r="C130" s="23"/>
      <c r="D130" s="24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8.75" customHeight="1" x14ac:dyDescent="0.2">
      <c r="A131" s="22"/>
      <c r="B131" s="16"/>
      <c r="C131" s="23"/>
      <c r="D131" s="24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8.75" customHeight="1" x14ac:dyDescent="0.2">
      <c r="A132" s="22"/>
      <c r="B132" s="16"/>
      <c r="C132" s="23"/>
      <c r="D132" s="24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8.75" customHeight="1" x14ac:dyDescent="0.2">
      <c r="A133" s="22"/>
      <c r="B133" s="16"/>
      <c r="C133" s="23"/>
      <c r="D133" s="24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8.75" customHeight="1" x14ac:dyDescent="0.2">
      <c r="A134" s="22"/>
      <c r="B134" s="16"/>
      <c r="C134" s="23"/>
      <c r="D134" s="24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8.75" customHeight="1" x14ac:dyDescent="0.2">
      <c r="A135" s="22"/>
      <c r="B135" s="16"/>
      <c r="C135" s="23"/>
      <c r="D135" s="24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8.75" customHeight="1" x14ac:dyDescent="0.2">
      <c r="A136" s="22"/>
      <c r="B136" s="16"/>
      <c r="C136" s="23"/>
      <c r="D136" s="24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8.75" customHeight="1" x14ac:dyDescent="0.2">
      <c r="A137" s="22"/>
      <c r="B137" s="16"/>
      <c r="C137" s="23"/>
      <c r="D137" s="2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8.75" customHeight="1" x14ac:dyDescent="0.2">
      <c r="A138" s="22"/>
      <c r="B138" s="16"/>
      <c r="C138" s="23"/>
      <c r="D138" s="24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8.75" customHeight="1" x14ac:dyDescent="0.2">
      <c r="A139" s="22"/>
      <c r="B139" s="16"/>
      <c r="C139" s="23"/>
      <c r="D139" s="24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8.75" customHeight="1" x14ac:dyDescent="0.2">
      <c r="A140" s="22"/>
      <c r="B140" s="16"/>
      <c r="C140" s="23"/>
      <c r="D140" s="24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8.75" customHeight="1" x14ac:dyDescent="0.2">
      <c r="A141" s="22"/>
      <c r="B141" s="16"/>
      <c r="C141" s="23"/>
      <c r="D141" s="24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8.75" customHeight="1" x14ac:dyDescent="0.2">
      <c r="A142" s="22"/>
      <c r="B142" s="16"/>
      <c r="C142" s="23"/>
      <c r="D142" s="24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8.75" customHeight="1" x14ac:dyDescent="0.2">
      <c r="A143" s="22"/>
      <c r="B143" s="16"/>
      <c r="C143" s="23"/>
      <c r="D143" s="24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8.75" customHeight="1" x14ac:dyDescent="0.2">
      <c r="A144" s="22"/>
      <c r="B144" s="16"/>
      <c r="C144" s="23"/>
      <c r="D144" s="24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8.75" customHeight="1" x14ac:dyDescent="0.2">
      <c r="A145" s="22"/>
      <c r="B145" s="16"/>
      <c r="C145" s="23"/>
      <c r="D145" s="24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8.75" customHeight="1" x14ac:dyDescent="0.2">
      <c r="A146" s="22"/>
      <c r="B146" s="16"/>
      <c r="C146" s="23"/>
      <c r="D146" s="24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8.75" customHeight="1" x14ac:dyDescent="0.2">
      <c r="A147" s="22"/>
      <c r="B147" s="16"/>
      <c r="C147" s="23"/>
      <c r="D147" s="24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8.75" customHeight="1" x14ac:dyDescent="0.2">
      <c r="A148" s="22"/>
      <c r="B148" s="16"/>
      <c r="C148" s="23"/>
      <c r="D148" s="24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8.75" customHeight="1" x14ac:dyDescent="0.2">
      <c r="A149" s="22"/>
      <c r="B149" s="16"/>
      <c r="C149" s="23"/>
      <c r="D149" s="24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8.75" customHeight="1" x14ac:dyDescent="0.2">
      <c r="A150" s="22"/>
      <c r="B150" s="16"/>
      <c r="C150" s="23"/>
      <c r="D150" s="24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8.75" customHeight="1" x14ac:dyDescent="0.2">
      <c r="A151" s="22"/>
      <c r="B151" s="16"/>
      <c r="C151" s="23"/>
      <c r="D151" s="24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8.75" customHeight="1" x14ac:dyDescent="0.2">
      <c r="A152" s="22"/>
      <c r="B152" s="16"/>
      <c r="C152" s="23"/>
      <c r="D152" s="24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8.75" customHeight="1" x14ac:dyDescent="0.2">
      <c r="A153" s="22"/>
      <c r="B153" s="16"/>
      <c r="C153" s="23"/>
      <c r="D153" s="24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8.75" customHeight="1" x14ac:dyDescent="0.2">
      <c r="A154" s="22"/>
      <c r="B154" s="16"/>
      <c r="C154" s="23"/>
      <c r="D154" s="24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8.75" customHeight="1" x14ac:dyDescent="0.2">
      <c r="A155" s="22"/>
      <c r="B155" s="16"/>
      <c r="C155" s="23"/>
      <c r="D155" s="24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8.75" customHeight="1" x14ac:dyDescent="0.2">
      <c r="A156" s="22"/>
      <c r="B156" s="16"/>
      <c r="C156" s="23"/>
      <c r="D156" s="24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8.75" customHeight="1" x14ac:dyDescent="0.2">
      <c r="A157" s="22"/>
      <c r="B157" s="16"/>
      <c r="C157" s="23"/>
      <c r="D157" s="24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8.75" customHeight="1" x14ac:dyDescent="0.2">
      <c r="A158" s="22"/>
      <c r="B158" s="16"/>
      <c r="C158" s="23"/>
      <c r="D158" s="24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8.75" customHeight="1" x14ac:dyDescent="0.2">
      <c r="A159" s="22"/>
      <c r="B159" s="16"/>
      <c r="C159" s="23"/>
      <c r="D159" s="24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8.75" customHeight="1" x14ac:dyDescent="0.2">
      <c r="A160" s="22"/>
      <c r="B160" s="16"/>
      <c r="C160" s="23"/>
      <c r="D160" s="24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8.75" customHeight="1" x14ac:dyDescent="0.2">
      <c r="A161" s="22"/>
      <c r="B161" s="16"/>
      <c r="C161" s="23"/>
      <c r="D161" s="24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8.75" customHeight="1" x14ac:dyDescent="0.2">
      <c r="A162" s="22"/>
      <c r="B162" s="16"/>
      <c r="C162" s="23"/>
      <c r="D162" s="24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8.75" customHeight="1" x14ac:dyDescent="0.2">
      <c r="A163" s="22"/>
      <c r="B163" s="16"/>
      <c r="C163" s="23"/>
      <c r="D163" s="24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8.75" customHeight="1" x14ac:dyDescent="0.2">
      <c r="A164" s="22"/>
      <c r="B164" s="16"/>
      <c r="C164" s="23"/>
      <c r="D164" s="24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8.75" customHeight="1" x14ac:dyDescent="0.2">
      <c r="A165" s="22"/>
      <c r="B165" s="16"/>
      <c r="C165" s="23"/>
      <c r="D165" s="24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8.75" customHeight="1" x14ac:dyDescent="0.2">
      <c r="A166" s="22"/>
      <c r="B166" s="16"/>
      <c r="C166" s="23"/>
      <c r="D166" s="24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8.75" customHeight="1" x14ac:dyDescent="0.2">
      <c r="A167" s="22"/>
      <c r="B167" s="16"/>
      <c r="C167" s="23"/>
      <c r="D167" s="24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8.75" customHeight="1" x14ac:dyDescent="0.2">
      <c r="A168" s="22"/>
      <c r="B168" s="16"/>
      <c r="C168" s="23"/>
      <c r="D168" s="24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8.75" customHeight="1" x14ac:dyDescent="0.2">
      <c r="A169" s="22"/>
      <c r="B169" s="16"/>
      <c r="C169" s="23"/>
      <c r="D169" s="24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8.75" customHeight="1" x14ac:dyDescent="0.2">
      <c r="A170" s="22"/>
      <c r="B170" s="16"/>
      <c r="C170" s="23"/>
      <c r="D170" s="24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8.75" customHeight="1" x14ac:dyDescent="0.2">
      <c r="A171" s="22"/>
      <c r="B171" s="16"/>
      <c r="C171" s="23"/>
      <c r="D171" s="24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8.75" customHeight="1" x14ac:dyDescent="0.2">
      <c r="A172" s="22"/>
      <c r="B172" s="16"/>
      <c r="C172" s="23"/>
      <c r="D172" s="24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8.75" customHeight="1" x14ac:dyDescent="0.2">
      <c r="A173" s="22"/>
      <c r="B173" s="16"/>
      <c r="C173" s="23"/>
      <c r="D173" s="24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8.75" customHeight="1" x14ac:dyDescent="0.2">
      <c r="A174" s="22"/>
      <c r="B174" s="16"/>
      <c r="C174" s="23"/>
      <c r="D174" s="2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8.75" customHeight="1" x14ac:dyDescent="0.2">
      <c r="A175" s="22"/>
      <c r="B175" s="16"/>
      <c r="C175" s="23"/>
      <c r="D175" s="24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8.75" customHeight="1" x14ac:dyDescent="0.2">
      <c r="A176" s="22"/>
      <c r="B176" s="16"/>
      <c r="C176" s="23"/>
      <c r="D176" s="24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8.75" customHeight="1" x14ac:dyDescent="0.2">
      <c r="A177" s="22"/>
      <c r="B177" s="16"/>
      <c r="C177" s="23"/>
      <c r="D177" s="24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8.75" customHeight="1" x14ac:dyDescent="0.2">
      <c r="A178" s="22"/>
      <c r="B178" s="16"/>
      <c r="C178" s="23"/>
      <c r="D178" s="24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8.75" customHeight="1" x14ac:dyDescent="0.2">
      <c r="A179" s="22"/>
      <c r="B179" s="16"/>
      <c r="C179" s="23"/>
      <c r="D179" s="24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8.75" customHeight="1" x14ac:dyDescent="0.2">
      <c r="A180" s="22"/>
      <c r="B180" s="16"/>
      <c r="C180" s="23"/>
      <c r="D180" s="24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8.75" customHeight="1" x14ac:dyDescent="0.2">
      <c r="A181" s="22"/>
      <c r="B181" s="16"/>
      <c r="C181" s="23"/>
      <c r="D181" s="24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8.75" customHeight="1" x14ac:dyDescent="0.2">
      <c r="A182" s="22"/>
      <c r="B182" s="16"/>
      <c r="C182" s="23"/>
      <c r="D182" s="24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8.75" customHeight="1" x14ac:dyDescent="0.2">
      <c r="A183" s="22"/>
      <c r="B183" s="16"/>
      <c r="C183" s="23"/>
      <c r="D183" s="2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8.75" customHeight="1" x14ac:dyDescent="0.2">
      <c r="A184" s="22"/>
      <c r="B184" s="16"/>
      <c r="C184" s="23"/>
      <c r="D184" s="24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8.75" customHeight="1" x14ac:dyDescent="0.2">
      <c r="A185" s="22"/>
      <c r="B185" s="16"/>
      <c r="C185" s="23"/>
      <c r="D185" s="24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8.75" customHeight="1" x14ac:dyDescent="0.2">
      <c r="A186" s="22"/>
      <c r="B186" s="16"/>
      <c r="C186" s="23"/>
      <c r="D186" s="24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8.75" customHeight="1" x14ac:dyDescent="0.2">
      <c r="A187" s="22"/>
      <c r="B187" s="16"/>
      <c r="C187" s="23"/>
      <c r="D187" s="24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8.75" customHeight="1" x14ac:dyDescent="0.2">
      <c r="A188" s="22"/>
      <c r="B188" s="16"/>
      <c r="C188" s="23"/>
      <c r="D188" s="24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8.75" customHeight="1" x14ac:dyDescent="0.2">
      <c r="A189" s="22"/>
      <c r="B189" s="16"/>
      <c r="C189" s="23"/>
      <c r="D189" s="24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8.75" customHeight="1" x14ac:dyDescent="0.2">
      <c r="A190" s="22"/>
      <c r="B190" s="16"/>
      <c r="C190" s="23"/>
      <c r="D190" s="2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8.75" customHeight="1" x14ac:dyDescent="0.2">
      <c r="A191" s="22"/>
      <c r="B191" s="16"/>
      <c r="C191" s="23"/>
      <c r="D191" s="2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8.75" customHeight="1" x14ac:dyDescent="0.2">
      <c r="A192" s="22"/>
      <c r="B192" s="16"/>
      <c r="C192" s="23"/>
      <c r="D192" s="2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8.75" customHeight="1" x14ac:dyDescent="0.2">
      <c r="A193" s="22"/>
      <c r="B193" s="16"/>
      <c r="C193" s="23"/>
      <c r="D193" s="24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8.75" customHeight="1" x14ac:dyDescent="0.2">
      <c r="A194" s="22"/>
      <c r="B194" s="16"/>
      <c r="C194" s="23"/>
      <c r="D194" s="24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8.75" customHeight="1" x14ac:dyDescent="0.2">
      <c r="A195" s="22"/>
      <c r="B195" s="16"/>
      <c r="C195" s="23"/>
      <c r="D195" s="24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8.75" customHeight="1" x14ac:dyDescent="0.2">
      <c r="A196" s="22"/>
      <c r="B196" s="16"/>
      <c r="C196" s="23"/>
      <c r="D196" s="2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8.75" customHeight="1" x14ac:dyDescent="0.2">
      <c r="A197" s="22"/>
      <c r="B197" s="16"/>
      <c r="C197" s="23"/>
      <c r="D197" s="24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8.75" customHeight="1" x14ac:dyDescent="0.2">
      <c r="A198" s="22"/>
      <c r="B198" s="16"/>
      <c r="C198" s="23"/>
      <c r="D198" s="24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8.75" customHeight="1" x14ac:dyDescent="0.2">
      <c r="A199" s="22"/>
      <c r="B199" s="16"/>
      <c r="C199" s="23"/>
      <c r="D199" s="2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8.75" customHeight="1" x14ac:dyDescent="0.2">
      <c r="A200" s="22"/>
      <c r="B200" s="16"/>
      <c r="C200" s="23"/>
      <c r="D200" s="2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8.75" customHeight="1" x14ac:dyDescent="0.2">
      <c r="A201" s="22"/>
      <c r="B201" s="16"/>
      <c r="C201" s="23"/>
      <c r="D201" s="2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8.75" customHeight="1" x14ac:dyDescent="0.2">
      <c r="A202" s="22"/>
      <c r="B202" s="16"/>
      <c r="C202" s="23"/>
      <c r="D202" s="24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8.75" customHeight="1" x14ac:dyDescent="0.2">
      <c r="A203" s="22"/>
      <c r="B203" s="16"/>
      <c r="C203" s="23"/>
      <c r="D203" s="24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8.75" customHeight="1" x14ac:dyDescent="0.2">
      <c r="A204" s="22"/>
      <c r="B204" s="16"/>
      <c r="C204" s="23"/>
      <c r="D204" s="2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8.75" customHeight="1" x14ac:dyDescent="0.2">
      <c r="A205" s="22"/>
      <c r="B205" s="16"/>
      <c r="C205" s="23"/>
      <c r="D205" s="2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8.75" customHeight="1" x14ac:dyDescent="0.2">
      <c r="A206" s="22"/>
      <c r="B206" s="16"/>
      <c r="C206" s="23"/>
      <c r="D206" s="2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8.75" customHeight="1" x14ac:dyDescent="0.2">
      <c r="A207" s="22"/>
      <c r="B207" s="16"/>
      <c r="C207" s="23"/>
      <c r="D207" s="2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8.75" customHeight="1" x14ac:dyDescent="0.2">
      <c r="A208" s="22"/>
      <c r="B208" s="16"/>
      <c r="C208" s="23"/>
      <c r="D208" s="2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8.75" customHeight="1" x14ac:dyDescent="0.2">
      <c r="A209" s="22"/>
      <c r="B209" s="16"/>
      <c r="C209" s="23"/>
      <c r="D209" s="2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8.75" customHeight="1" x14ac:dyDescent="0.2">
      <c r="A210" s="22"/>
      <c r="B210" s="16"/>
      <c r="C210" s="23"/>
      <c r="D210" s="24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8.75" customHeight="1" x14ac:dyDescent="0.2">
      <c r="A211" s="22"/>
      <c r="B211" s="16"/>
      <c r="C211" s="23"/>
      <c r="D211" s="24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8.75" customHeight="1" x14ac:dyDescent="0.2">
      <c r="A212" s="22"/>
      <c r="B212" s="16"/>
      <c r="C212" s="23"/>
      <c r="D212" s="2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8.75" customHeight="1" x14ac:dyDescent="0.2">
      <c r="A213" s="22"/>
      <c r="B213" s="16"/>
      <c r="C213" s="23"/>
      <c r="D213" s="2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8.75" customHeight="1" x14ac:dyDescent="0.2">
      <c r="A214" s="22"/>
      <c r="B214" s="16"/>
      <c r="C214" s="23"/>
      <c r="D214" s="2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8.75" customHeight="1" x14ac:dyDescent="0.2">
      <c r="A215" s="22"/>
      <c r="B215" s="16"/>
      <c r="C215" s="23"/>
      <c r="D215" s="2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8.75" customHeight="1" x14ac:dyDescent="0.2">
      <c r="A216" s="22"/>
      <c r="B216" s="16"/>
      <c r="C216" s="23"/>
      <c r="D216" s="2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8.75" customHeight="1" x14ac:dyDescent="0.2">
      <c r="A217" s="22"/>
      <c r="B217" s="16"/>
      <c r="C217" s="23"/>
      <c r="D217" s="24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8.75" customHeight="1" x14ac:dyDescent="0.2">
      <c r="A218" s="22"/>
      <c r="B218" s="16"/>
      <c r="C218" s="23"/>
      <c r="D218" s="24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8.75" customHeight="1" x14ac:dyDescent="0.2">
      <c r="A219" s="22"/>
      <c r="B219" s="16"/>
      <c r="C219" s="23"/>
      <c r="D219" s="24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8.75" customHeight="1" x14ac:dyDescent="0.2">
      <c r="A220" s="22"/>
      <c r="B220" s="16"/>
      <c r="C220" s="23"/>
      <c r="D220" s="24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8.75" customHeight="1" x14ac:dyDescent="0.2">
      <c r="A221" s="22"/>
      <c r="B221" s="16"/>
      <c r="C221" s="23"/>
      <c r="D221" s="24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8.75" customHeight="1" x14ac:dyDescent="0.2">
      <c r="A222" s="22"/>
      <c r="B222" s="16"/>
      <c r="C222" s="23"/>
      <c r="D222" s="24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8.75" customHeight="1" x14ac:dyDescent="0.2">
      <c r="A223" s="22"/>
      <c r="B223" s="16"/>
      <c r="C223" s="23"/>
      <c r="D223" s="24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8.75" customHeight="1" x14ac:dyDescent="0.2">
      <c r="A224" s="22"/>
      <c r="B224" s="16"/>
      <c r="C224" s="23"/>
      <c r="D224" s="24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8.75" customHeight="1" x14ac:dyDescent="0.2">
      <c r="A225" s="22"/>
      <c r="B225" s="16"/>
      <c r="C225" s="23"/>
      <c r="D225" s="24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8.75" customHeight="1" x14ac:dyDescent="0.2">
      <c r="A226" s="22"/>
      <c r="B226" s="16"/>
      <c r="C226" s="23"/>
      <c r="D226" s="24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8.75" customHeight="1" x14ac:dyDescent="0.2">
      <c r="A227" s="22"/>
      <c r="B227" s="16"/>
      <c r="C227" s="23"/>
      <c r="D227" s="24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8.75" customHeight="1" x14ac:dyDescent="0.2">
      <c r="A228" s="22"/>
      <c r="B228" s="16"/>
      <c r="C228" s="23"/>
      <c r="D228" s="24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8.75" customHeight="1" x14ac:dyDescent="0.2">
      <c r="A229" s="22"/>
      <c r="B229" s="16"/>
      <c r="C229" s="23"/>
      <c r="D229" s="24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8.75" customHeight="1" x14ac:dyDescent="0.2">
      <c r="A230" s="22"/>
      <c r="B230" s="16"/>
      <c r="C230" s="23"/>
      <c r="D230" s="24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8.75" customHeight="1" x14ac:dyDescent="0.2">
      <c r="A231" s="22"/>
      <c r="B231" s="16"/>
      <c r="C231" s="23"/>
      <c r="D231" s="24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8.75" customHeight="1" x14ac:dyDescent="0.2">
      <c r="A232" s="22"/>
      <c r="B232" s="16"/>
      <c r="C232" s="23"/>
      <c r="D232" s="24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8.75" customHeight="1" x14ac:dyDescent="0.2">
      <c r="A233" s="22"/>
      <c r="B233" s="16"/>
      <c r="C233" s="23"/>
      <c r="D233" s="24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8.75" customHeight="1" x14ac:dyDescent="0.2">
      <c r="A234" s="22"/>
      <c r="B234" s="16"/>
      <c r="C234" s="23"/>
      <c r="D234" s="24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8.75" customHeight="1" x14ac:dyDescent="0.2">
      <c r="A235" s="22"/>
      <c r="B235" s="16"/>
      <c r="C235" s="23"/>
      <c r="D235" s="24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8.75" customHeight="1" x14ac:dyDescent="0.2">
      <c r="A236" s="22"/>
      <c r="B236" s="16"/>
      <c r="C236" s="23"/>
      <c r="D236" s="24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8.75" customHeight="1" x14ac:dyDescent="0.2">
      <c r="A237" s="22"/>
      <c r="B237" s="16"/>
      <c r="C237" s="23"/>
      <c r="D237" s="24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8.75" customHeight="1" x14ac:dyDescent="0.2">
      <c r="A238" s="22"/>
      <c r="B238" s="16"/>
      <c r="C238" s="23"/>
      <c r="D238" s="24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8.75" customHeight="1" x14ac:dyDescent="0.2">
      <c r="A239" s="22"/>
      <c r="B239" s="16"/>
      <c r="C239" s="23"/>
      <c r="D239" s="24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8.75" customHeight="1" x14ac:dyDescent="0.2">
      <c r="A240" s="22"/>
      <c r="B240" s="16"/>
      <c r="C240" s="23"/>
      <c r="D240" s="24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8.75" customHeight="1" x14ac:dyDescent="0.2">
      <c r="A241" s="22"/>
      <c r="B241" s="16"/>
      <c r="C241" s="23"/>
      <c r="D241" s="24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8.75" customHeight="1" x14ac:dyDescent="0.2">
      <c r="A242" s="22"/>
      <c r="B242" s="16"/>
      <c r="C242" s="23"/>
      <c r="D242" s="24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8.75" customHeight="1" x14ac:dyDescent="0.2">
      <c r="A243" s="22"/>
      <c r="B243" s="16"/>
      <c r="C243" s="23"/>
      <c r="D243" s="24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8.75" customHeight="1" x14ac:dyDescent="0.2">
      <c r="A244" s="22"/>
      <c r="B244" s="16"/>
      <c r="C244" s="23"/>
      <c r="D244" s="24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8.75" customHeight="1" x14ac:dyDescent="0.2">
      <c r="A245" s="22"/>
      <c r="B245" s="16"/>
      <c r="C245" s="23"/>
      <c r="D245" s="24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8.75" customHeight="1" x14ac:dyDescent="0.2">
      <c r="A246" s="22"/>
      <c r="B246" s="16"/>
      <c r="C246" s="23"/>
      <c r="D246" s="24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8.75" customHeight="1" x14ac:dyDescent="0.2">
      <c r="A247" s="22"/>
      <c r="B247" s="16"/>
      <c r="C247" s="23"/>
      <c r="D247" s="24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8.75" customHeight="1" x14ac:dyDescent="0.2">
      <c r="A248" s="22"/>
      <c r="B248" s="16"/>
      <c r="C248" s="23"/>
      <c r="D248" s="24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8.75" customHeight="1" x14ac:dyDescent="0.2">
      <c r="A249" s="22"/>
      <c r="B249" s="16"/>
      <c r="C249" s="23"/>
      <c r="D249" s="24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8.75" customHeight="1" x14ac:dyDescent="0.2">
      <c r="A250" s="22"/>
      <c r="B250" s="16"/>
      <c r="C250" s="23"/>
      <c r="D250" s="24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8.75" customHeight="1" x14ac:dyDescent="0.2">
      <c r="A251" s="22"/>
      <c r="B251" s="16"/>
      <c r="C251" s="23"/>
      <c r="D251" s="24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8.75" customHeight="1" x14ac:dyDescent="0.2">
      <c r="A252" s="22"/>
      <c r="B252" s="16"/>
      <c r="C252" s="23"/>
      <c r="D252" s="24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8.75" customHeight="1" x14ac:dyDescent="0.2">
      <c r="A253" s="22"/>
      <c r="B253" s="16"/>
      <c r="C253" s="23"/>
      <c r="D253" s="24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8.75" customHeight="1" x14ac:dyDescent="0.2">
      <c r="A254" s="22"/>
      <c r="B254" s="16"/>
      <c r="C254" s="23"/>
      <c r="D254" s="24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8.75" customHeight="1" x14ac:dyDescent="0.2">
      <c r="A255" s="22"/>
      <c r="B255" s="16"/>
      <c r="C255" s="23"/>
      <c r="D255" s="24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8.75" customHeight="1" x14ac:dyDescent="0.2">
      <c r="A256" s="22"/>
      <c r="B256" s="16"/>
      <c r="C256" s="23"/>
      <c r="D256" s="24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8.75" customHeight="1" x14ac:dyDescent="0.2">
      <c r="A257" s="22"/>
      <c r="B257" s="16"/>
      <c r="C257" s="23"/>
      <c r="D257" s="24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8.75" customHeight="1" x14ac:dyDescent="0.2">
      <c r="A258" s="22"/>
      <c r="B258" s="16"/>
      <c r="C258" s="23"/>
      <c r="D258" s="24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8.75" customHeight="1" x14ac:dyDescent="0.2">
      <c r="A259" s="22"/>
      <c r="B259" s="16"/>
      <c r="C259" s="23"/>
      <c r="D259" s="24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8.75" customHeight="1" x14ac:dyDescent="0.2">
      <c r="A260" s="22"/>
      <c r="B260" s="16"/>
      <c r="C260" s="23"/>
      <c r="D260" s="24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8.75" customHeight="1" x14ac:dyDescent="0.2">
      <c r="A261" s="22"/>
      <c r="B261" s="16"/>
      <c r="C261" s="23"/>
      <c r="D261" s="24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8.75" customHeight="1" x14ac:dyDescent="0.2">
      <c r="A262" s="22"/>
      <c r="B262" s="16"/>
      <c r="C262" s="23"/>
      <c r="D262" s="24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8.75" customHeight="1" x14ac:dyDescent="0.2">
      <c r="A263" s="22"/>
      <c r="B263" s="16"/>
      <c r="C263" s="23"/>
      <c r="D263" s="24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8.75" customHeight="1" x14ac:dyDescent="0.2">
      <c r="A264" s="22"/>
      <c r="B264" s="16"/>
      <c r="C264" s="23"/>
      <c r="D264" s="2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8.75" customHeight="1" x14ac:dyDescent="0.2">
      <c r="A265" s="22"/>
      <c r="B265" s="16"/>
      <c r="C265" s="23"/>
      <c r="D265" s="2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8.75" customHeight="1" x14ac:dyDescent="0.2">
      <c r="A266" s="22"/>
      <c r="B266" s="16"/>
      <c r="C266" s="23"/>
      <c r="D266" s="2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8.75" customHeight="1" x14ac:dyDescent="0.2">
      <c r="A267" s="22"/>
      <c r="B267" s="16"/>
      <c r="C267" s="23"/>
      <c r="D267" s="24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8.75" customHeight="1" x14ac:dyDescent="0.2">
      <c r="A268" s="22"/>
      <c r="B268" s="16"/>
      <c r="C268" s="23"/>
      <c r="D268" s="24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8.75" customHeight="1" x14ac:dyDescent="0.2">
      <c r="A269" s="22"/>
      <c r="B269" s="16"/>
      <c r="C269" s="23"/>
      <c r="D269" s="24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8.75" customHeight="1" x14ac:dyDescent="0.2">
      <c r="A270" s="22"/>
      <c r="B270" s="16"/>
      <c r="C270" s="23"/>
      <c r="D270" s="24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8.75" customHeight="1" x14ac:dyDescent="0.2">
      <c r="A271" s="22"/>
      <c r="B271" s="16"/>
      <c r="C271" s="23"/>
      <c r="D271" s="24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8.75" customHeight="1" x14ac:dyDescent="0.2">
      <c r="A272" s="22"/>
      <c r="B272" s="16"/>
      <c r="C272" s="23"/>
      <c r="D272" s="24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8.75" customHeight="1" x14ac:dyDescent="0.2">
      <c r="A273" s="22"/>
      <c r="B273" s="16"/>
      <c r="C273" s="23"/>
      <c r="D273" s="24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8.75" customHeight="1" x14ac:dyDescent="0.2">
      <c r="A274" s="22"/>
      <c r="B274" s="16"/>
      <c r="C274" s="23"/>
      <c r="D274" s="24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8.75" customHeight="1" x14ac:dyDescent="0.2">
      <c r="A275" s="22"/>
      <c r="B275" s="16"/>
      <c r="C275" s="23"/>
      <c r="D275" s="24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8.75" customHeight="1" x14ac:dyDescent="0.2">
      <c r="A276" s="22"/>
      <c r="B276" s="16"/>
      <c r="C276" s="23"/>
      <c r="D276" s="2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8.75" customHeight="1" x14ac:dyDescent="0.2">
      <c r="A277" s="22"/>
      <c r="B277" s="16"/>
      <c r="C277" s="23"/>
      <c r="D277" s="24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8.75" customHeight="1" x14ac:dyDescent="0.2">
      <c r="A278" s="22"/>
      <c r="B278" s="16"/>
      <c r="C278" s="23"/>
      <c r="D278" s="24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8.75" customHeight="1" x14ac:dyDescent="0.2">
      <c r="A279" s="22"/>
      <c r="B279" s="16"/>
      <c r="C279" s="23"/>
      <c r="D279" s="24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8.75" customHeight="1" x14ac:dyDescent="0.2">
      <c r="A280" s="22"/>
      <c r="B280" s="16"/>
      <c r="C280" s="23"/>
      <c r="D280" s="24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8.75" customHeight="1" x14ac:dyDescent="0.2">
      <c r="A281" s="22"/>
      <c r="B281" s="16"/>
      <c r="C281" s="23"/>
      <c r="D281" s="24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8.75" customHeight="1" x14ac:dyDescent="0.2">
      <c r="A282" s="22"/>
      <c r="B282" s="16"/>
      <c r="C282" s="23"/>
      <c r="D282" s="24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8.75" customHeight="1" x14ac:dyDescent="0.2">
      <c r="A283" s="22"/>
      <c r="B283" s="16"/>
      <c r="C283" s="23"/>
      <c r="D283" s="24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8.75" customHeight="1" x14ac:dyDescent="0.2">
      <c r="A284" s="22"/>
      <c r="B284" s="16"/>
      <c r="C284" s="23"/>
      <c r="D284" s="24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8.75" customHeight="1" x14ac:dyDescent="0.2">
      <c r="A285" s="22"/>
      <c r="B285" s="16"/>
      <c r="C285" s="23"/>
      <c r="D285" s="24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8.75" customHeight="1" x14ac:dyDescent="0.2">
      <c r="A286" s="22"/>
      <c r="B286" s="16"/>
      <c r="C286" s="23"/>
      <c r="D286" s="24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8.75" customHeight="1" x14ac:dyDescent="0.2">
      <c r="A287" s="22"/>
      <c r="B287" s="16"/>
      <c r="C287" s="23"/>
      <c r="D287" s="24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8.75" customHeight="1" x14ac:dyDescent="0.2">
      <c r="A288" s="22"/>
      <c r="B288" s="16"/>
      <c r="C288" s="23"/>
      <c r="D288" s="24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8.75" customHeight="1" x14ac:dyDescent="0.2">
      <c r="A289" s="22"/>
      <c r="B289" s="16"/>
      <c r="C289" s="23"/>
      <c r="D289" s="24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8.75" customHeight="1" x14ac:dyDescent="0.2">
      <c r="A290" s="22"/>
      <c r="B290" s="16"/>
      <c r="C290" s="23"/>
      <c r="D290" s="24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8.75" customHeight="1" x14ac:dyDescent="0.2">
      <c r="A291" s="22"/>
      <c r="B291" s="16"/>
      <c r="C291" s="23"/>
      <c r="D291" s="24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8.75" customHeight="1" x14ac:dyDescent="0.2">
      <c r="A292" s="22"/>
      <c r="B292" s="16"/>
      <c r="C292" s="23"/>
      <c r="D292" s="24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8.75" customHeight="1" x14ac:dyDescent="0.2">
      <c r="A293" s="22"/>
      <c r="B293" s="16"/>
      <c r="C293" s="23"/>
      <c r="D293" s="24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8.75" customHeight="1" x14ac:dyDescent="0.2">
      <c r="A294" s="22"/>
      <c r="B294" s="16"/>
      <c r="C294" s="23"/>
      <c r="D294" s="24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8.75" customHeight="1" x14ac:dyDescent="0.2">
      <c r="A295" s="22"/>
      <c r="B295" s="16"/>
      <c r="C295" s="23"/>
      <c r="D295" s="24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8.75" customHeight="1" x14ac:dyDescent="0.2">
      <c r="A296" s="22"/>
      <c r="B296" s="16"/>
      <c r="C296" s="23"/>
      <c r="D296" s="24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8.75" customHeight="1" x14ac:dyDescent="0.2">
      <c r="A297" s="22"/>
      <c r="B297" s="16"/>
      <c r="C297" s="23"/>
      <c r="D297" s="24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8.75" customHeight="1" x14ac:dyDescent="0.2">
      <c r="A298" s="22"/>
      <c r="B298" s="16"/>
      <c r="C298" s="23"/>
      <c r="D298" s="24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8.75" customHeight="1" x14ac:dyDescent="0.2">
      <c r="A299" s="22"/>
      <c r="B299" s="16"/>
      <c r="C299" s="23"/>
      <c r="D299" s="24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8.75" customHeight="1" x14ac:dyDescent="0.2">
      <c r="A300" s="22"/>
      <c r="B300" s="16"/>
      <c r="C300" s="23"/>
      <c r="D300" s="24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8.75" customHeight="1" x14ac:dyDescent="0.2">
      <c r="A301" s="22"/>
      <c r="B301" s="16"/>
      <c r="C301" s="23"/>
      <c r="D301" s="24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8.75" customHeight="1" x14ac:dyDescent="0.2">
      <c r="A302" s="22"/>
      <c r="B302" s="16"/>
      <c r="C302" s="23"/>
      <c r="D302" s="24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8.75" customHeight="1" x14ac:dyDescent="0.2">
      <c r="A303" s="22"/>
      <c r="B303" s="16"/>
      <c r="C303" s="23"/>
      <c r="D303" s="24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8.75" customHeight="1" x14ac:dyDescent="0.2">
      <c r="A304" s="22"/>
      <c r="B304" s="16"/>
      <c r="C304" s="23"/>
      <c r="D304" s="24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8.75" customHeight="1" x14ac:dyDescent="0.2">
      <c r="A305" s="22"/>
      <c r="B305" s="16"/>
      <c r="C305" s="23"/>
      <c r="D305" s="24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8.75" customHeight="1" x14ac:dyDescent="0.2">
      <c r="A306" s="22"/>
      <c r="B306" s="16"/>
      <c r="C306" s="23"/>
      <c r="D306" s="24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8.75" customHeight="1" x14ac:dyDescent="0.2">
      <c r="A307" s="22"/>
      <c r="B307" s="16"/>
      <c r="C307" s="23"/>
      <c r="D307" s="2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8.75" customHeight="1" x14ac:dyDescent="0.2">
      <c r="A308" s="22"/>
      <c r="B308" s="16"/>
      <c r="C308" s="23"/>
      <c r="D308" s="24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8.75" customHeight="1" x14ac:dyDescent="0.2">
      <c r="A309" s="22"/>
      <c r="B309" s="16"/>
      <c r="C309" s="23"/>
      <c r="D309" s="24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8.75" customHeight="1" x14ac:dyDescent="0.2">
      <c r="A310" s="22"/>
      <c r="B310" s="16"/>
      <c r="C310" s="23"/>
      <c r="D310" s="24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8.75" customHeight="1" x14ac:dyDescent="0.2">
      <c r="A311" s="22"/>
      <c r="B311" s="16"/>
      <c r="C311" s="23"/>
      <c r="D311" s="2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8.75" customHeight="1" x14ac:dyDescent="0.2">
      <c r="A312" s="22"/>
      <c r="B312" s="16"/>
      <c r="C312" s="23"/>
      <c r="D312" s="2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8.75" customHeight="1" x14ac:dyDescent="0.2">
      <c r="A313" s="22"/>
      <c r="B313" s="16"/>
      <c r="C313" s="23"/>
      <c r="D313" s="2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8.75" customHeight="1" x14ac:dyDescent="0.2">
      <c r="A314" s="22"/>
      <c r="B314" s="16"/>
      <c r="C314" s="23"/>
      <c r="D314" s="2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8.75" customHeight="1" x14ac:dyDescent="0.2">
      <c r="A315" s="22"/>
      <c r="B315" s="16"/>
      <c r="C315" s="23"/>
      <c r="D315" s="2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8.75" customHeight="1" x14ac:dyDescent="0.2">
      <c r="A316" s="22"/>
      <c r="B316" s="16"/>
      <c r="C316" s="23"/>
      <c r="D316" s="2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8.75" customHeight="1" x14ac:dyDescent="0.2">
      <c r="A317" s="22"/>
      <c r="B317" s="16"/>
      <c r="C317" s="23"/>
      <c r="D317" s="2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8.75" customHeight="1" x14ac:dyDescent="0.2">
      <c r="A318" s="22"/>
      <c r="B318" s="16"/>
      <c r="C318" s="23"/>
      <c r="D318" s="2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8.75" customHeight="1" x14ac:dyDescent="0.2">
      <c r="A319" s="22"/>
      <c r="B319" s="16"/>
      <c r="C319" s="23"/>
      <c r="D319" s="2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8.75" customHeight="1" x14ac:dyDescent="0.2">
      <c r="A320" s="22"/>
      <c r="B320" s="16"/>
      <c r="C320" s="23"/>
      <c r="D320" s="2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8.75" customHeight="1" x14ac:dyDescent="0.2">
      <c r="A321" s="22"/>
      <c r="B321" s="16"/>
      <c r="C321" s="23"/>
      <c r="D321" s="2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8.75" customHeight="1" x14ac:dyDescent="0.2">
      <c r="A322" s="22"/>
      <c r="B322" s="16"/>
      <c r="C322" s="23"/>
      <c r="D322" s="2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8.75" customHeight="1" x14ac:dyDescent="0.2">
      <c r="A323" s="22"/>
      <c r="B323" s="16"/>
      <c r="C323" s="23"/>
      <c r="D323" s="2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8.75" customHeight="1" x14ac:dyDescent="0.2">
      <c r="A324" s="22"/>
      <c r="B324" s="16"/>
      <c r="C324" s="23"/>
      <c r="D324" s="2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8.75" customHeight="1" x14ac:dyDescent="0.2">
      <c r="A325" s="22"/>
      <c r="B325" s="16"/>
      <c r="C325" s="23"/>
      <c r="D325" s="2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8.75" customHeight="1" x14ac:dyDescent="0.2">
      <c r="A326" s="22"/>
      <c r="B326" s="16"/>
      <c r="C326" s="23"/>
      <c r="D326" s="2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8.75" customHeight="1" x14ac:dyDescent="0.2">
      <c r="A327" s="22"/>
      <c r="B327" s="16"/>
      <c r="C327" s="23"/>
      <c r="D327" s="2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8.75" customHeight="1" x14ac:dyDescent="0.2">
      <c r="A328" s="22"/>
      <c r="B328" s="16"/>
      <c r="C328" s="23"/>
      <c r="D328" s="2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8.75" customHeight="1" x14ac:dyDescent="0.2">
      <c r="A329" s="22"/>
      <c r="B329" s="16"/>
      <c r="C329" s="23"/>
      <c r="D329" s="2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8.75" customHeight="1" x14ac:dyDescent="0.2">
      <c r="A330" s="22"/>
      <c r="B330" s="16"/>
      <c r="C330" s="23"/>
      <c r="D330" s="2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8.75" customHeight="1" x14ac:dyDescent="0.2">
      <c r="A331" s="22"/>
      <c r="B331" s="16"/>
      <c r="C331" s="23"/>
      <c r="D331" s="2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8.75" customHeight="1" x14ac:dyDescent="0.2">
      <c r="A332" s="22"/>
      <c r="B332" s="16"/>
      <c r="C332" s="23"/>
      <c r="D332" s="2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8.75" customHeight="1" x14ac:dyDescent="0.2">
      <c r="A333" s="22"/>
      <c r="B333" s="16"/>
      <c r="C333" s="23"/>
      <c r="D333" s="2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8.75" customHeight="1" x14ac:dyDescent="0.2">
      <c r="A334" s="22"/>
      <c r="B334" s="16"/>
      <c r="C334" s="23"/>
      <c r="D334" s="2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8.75" customHeight="1" x14ac:dyDescent="0.2">
      <c r="A335" s="22"/>
      <c r="B335" s="16"/>
      <c r="C335" s="23"/>
      <c r="D335" s="2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8.75" customHeight="1" x14ac:dyDescent="0.2">
      <c r="A336" s="22"/>
      <c r="B336" s="16"/>
      <c r="C336" s="23"/>
      <c r="D336" s="2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8.75" customHeight="1" x14ac:dyDescent="0.2">
      <c r="A337" s="22"/>
      <c r="B337" s="16"/>
      <c r="C337" s="23"/>
      <c r="D337" s="2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8.75" customHeight="1" x14ac:dyDescent="0.2">
      <c r="A338" s="22"/>
      <c r="B338" s="16"/>
      <c r="C338" s="23"/>
      <c r="D338" s="2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8.75" customHeight="1" x14ac:dyDescent="0.2">
      <c r="A339" s="22"/>
      <c r="B339" s="16"/>
      <c r="C339" s="23"/>
      <c r="D339" s="2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8.75" customHeight="1" x14ac:dyDescent="0.2">
      <c r="A340" s="22"/>
      <c r="B340" s="16"/>
      <c r="C340" s="23"/>
      <c r="D340" s="2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8.75" customHeight="1" x14ac:dyDescent="0.2">
      <c r="A341" s="22"/>
      <c r="B341" s="16"/>
      <c r="C341" s="23"/>
      <c r="D341" s="2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8.75" customHeight="1" x14ac:dyDescent="0.2">
      <c r="A342" s="22"/>
      <c r="B342" s="16"/>
      <c r="C342" s="23"/>
      <c r="D342" s="2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8.75" customHeight="1" x14ac:dyDescent="0.2">
      <c r="A343" s="22"/>
      <c r="B343" s="16"/>
      <c r="C343" s="23"/>
      <c r="D343" s="2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8.75" customHeight="1" x14ac:dyDescent="0.2">
      <c r="A344" s="22"/>
      <c r="B344" s="16"/>
      <c r="C344" s="23"/>
      <c r="D344" s="2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8.75" customHeight="1" x14ac:dyDescent="0.2">
      <c r="A345" s="22"/>
      <c r="B345" s="16"/>
      <c r="C345" s="23"/>
      <c r="D345" s="2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8.75" customHeight="1" x14ac:dyDescent="0.2">
      <c r="A346" s="22"/>
      <c r="B346" s="16"/>
      <c r="C346" s="23"/>
      <c r="D346" s="2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8.75" customHeight="1" x14ac:dyDescent="0.2">
      <c r="A347" s="22"/>
      <c r="B347" s="16"/>
      <c r="C347" s="23"/>
      <c r="D347" s="2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8.75" customHeight="1" x14ac:dyDescent="0.2">
      <c r="A348" s="22"/>
      <c r="B348" s="16"/>
      <c r="C348" s="23"/>
      <c r="D348" s="2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8.75" customHeight="1" x14ac:dyDescent="0.2">
      <c r="A349" s="22"/>
      <c r="B349" s="16"/>
      <c r="C349" s="23"/>
      <c r="D349" s="2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8.75" customHeight="1" x14ac:dyDescent="0.2">
      <c r="A350" s="22"/>
      <c r="B350" s="16"/>
      <c r="C350" s="23"/>
      <c r="D350" s="2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8.75" customHeight="1" x14ac:dyDescent="0.2">
      <c r="A351" s="22"/>
      <c r="B351" s="16"/>
      <c r="C351" s="23"/>
      <c r="D351" s="2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8.75" customHeight="1" x14ac:dyDescent="0.2">
      <c r="A352" s="22"/>
      <c r="B352" s="16"/>
      <c r="C352" s="23"/>
      <c r="D352" s="2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8.75" customHeight="1" x14ac:dyDescent="0.2">
      <c r="A353" s="22"/>
      <c r="B353" s="16"/>
      <c r="C353" s="23"/>
      <c r="D353" s="2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8.75" customHeight="1" x14ac:dyDescent="0.2">
      <c r="A354" s="22"/>
      <c r="B354" s="16"/>
      <c r="C354" s="23"/>
      <c r="D354" s="2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8.75" customHeight="1" x14ac:dyDescent="0.2">
      <c r="A355" s="22"/>
      <c r="B355" s="16"/>
      <c r="C355" s="23"/>
      <c r="D355" s="2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8.75" customHeight="1" x14ac:dyDescent="0.2">
      <c r="A356" s="22"/>
      <c r="B356" s="16"/>
      <c r="C356" s="23"/>
      <c r="D356" s="2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8.75" customHeight="1" x14ac:dyDescent="0.2">
      <c r="A357" s="22"/>
      <c r="B357" s="16"/>
      <c r="C357" s="23"/>
      <c r="D357" s="2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8.75" customHeight="1" x14ac:dyDescent="0.2">
      <c r="A358" s="22"/>
      <c r="B358" s="16"/>
      <c r="C358" s="23"/>
      <c r="D358" s="2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8.75" customHeight="1" x14ac:dyDescent="0.2">
      <c r="A359" s="22"/>
      <c r="B359" s="16"/>
      <c r="C359" s="23"/>
      <c r="D359" s="2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8.75" customHeight="1" x14ac:dyDescent="0.2">
      <c r="A360" s="22"/>
      <c r="B360" s="16"/>
      <c r="C360" s="23"/>
      <c r="D360" s="2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8.75" customHeight="1" x14ac:dyDescent="0.2">
      <c r="A361" s="22"/>
      <c r="B361" s="16"/>
      <c r="C361" s="23"/>
      <c r="D361" s="2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8.75" customHeight="1" x14ac:dyDescent="0.2">
      <c r="A362" s="22"/>
      <c r="B362" s="16"/>
      <c r="C362" s="23"/>
      <c r="D362" s="2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8.75" customHeight="1" x14ac:dyDescent="0.2">
      <c r="A363" s="22"/>
      <c r="B363" s="16"/>
      <c r="C363" s="23"/>
      <c r="D363" s="2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8.75" customHeight="1" x14ac:dyDescent="0.2">
      <c r="A364" s="22"/>
      <c r="B364" s="16"/>
      <c r="C364" s="23"/>
      <c r="D364" s="2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8.75" customHeight="1" x14ac:dyDescent="0.2">
      <c r="A365" s="22"/>
      <c r="B365" s="16"/>
      <c r="C365" s="23"/>
      <c r="D365" s="2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8.75" customHeight="1" x14ac:dyDescent="0.2">
      <c r="A366" s="22"/>
      <c r="B366" s="16"/>
      <c r="C366" s="23"/>
      <c r="D366" s="2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8.75" customHeight="1" x14ac:dyDescent="0.2">
      <c r="A367" s="22"/>
      <c r="B367" s="16"/>
      <c r="C367" s="23"/>
      <c r="D367" s="2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8.75" customHeight="1" x14ac:dyDescent="0.2">
      <c r="A368" s="22"/>
      <c r="B368" s="16"/>
      <c r="C368" s="23"/>
      <c r="D368" s="2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8.75" customHeight="1" x14ac:dyDescent="0.2">
      <c r="A369" s="22"/>
      <c r="B369" s="16"/>
      <c r="C369" s="23"/>
      <c r="D369" s="2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8.75" customHeight="1" x14ac:dyDescent="0.2">
      <c r="A370" s="22"/>
      <c r="B370" s="16"/>
      <c r="C370" s="23"/>
      <c r="D370" s="2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8.75" customHeight="1" x14ac:dyDescent="0.2">
      <c r="A371" s="22"/>
      <c r="B371" s="16"/>
      <c r="C371" s="23"/>
      <c r="D371" s="2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8.75" customHeight="1" x14ac:dyDescent="0.2">
      <c r="A372" s="22"/>
      <c r="B372" s="16"/>
      <c r="C372" s="23"/>
      <c r="D372" s="2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8.75" customHeight="1" x14ac:dyDescent="0.2">
      <c r="A373" s="22"/>
      <c r="B373" s="16"/>
      <c r="C373" s="23"/>
      <c r="D373" s="2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8.75" customHeight="1" x14ac:dyDescent="0.2">
      <c r="A374" s="22"/>
      <c r="B374" s="16"/>
      <c r="C374" s="23"/>
      <c r="D374" s="2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8.75" customHeight="1" x14ac:dyDescent="0.2">
      <c r="A375" s="22"/>
      <c r="B375" s="16"/>
      <c r="C375" s="23"/>
      <c r="D375" s="2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8.75" customHeight="1" x14ac:dyDescent="0.2">
      <c r="A376" s="22"/>
      <c r="B376" s="16"/>
      <c r="C376" s="23"/>
      <c r="D376" s="2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8.75" customHeight="1" x14ac:dyDescent="0.2">
      <c r="A377" s="22"/>
      <c r="B377" s="16"/>
      <c r="C377" s="23"/>
      <c r="D377" s="2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8.75" customHeight="1" x14ac:dyDescent="0.2">
      <c r="A378" s="22"/>
      <c r="B378" s="16"/>
      <c r="C378" s="23"/>
      <c r="D378" s="2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8.75" customHeight="1" x14ac:dyDescent="0.2">
      <c r="A379" s="22"/>
      <c r="B379" s="16"/>
      <c r="C379" s="23"/>
      <c r="D379" s="2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8.75" customHeight="1" x14ac:dyDescent="0.2">
      <c r="A380" s="22"/>
      <c r="B380" s="16"/>
      <c r="C380" s="23"/>
      <c r="D380" s="2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8.75" customHeight="1" x14ac:dyDescent="0.2">
      <c r="A381" s="22"/>
      <c r="B381" s="16"/>
      <c r="C381" s="23"/>
      <c r="D381" s="2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8.75" customHeight="1" x14ac:dyDescent="0.2">
      <c r="A382" s="22"/>
      <c r="B382" s="16"/>
      <c r="C382" s="23"/>
      <c r="D382" s="2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8.75" customHeight="1" x14ac:dyDescent="0.2">
      <c r="A383" s="22"/>
      <c r="B383" s="16"/>
      <c r="C383" s="23"/>
      <c r="D383" s="2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8.75" customHeight="1" x14ac:dyDescent="0.2">
      <c r="A384" s="22"/>
      <c r="B384" s="16"/>
      <c r="C384" s="23"/>
      <c r="D384" s="2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8.75" customHeight="1" x14ac:dyDescent="0.2">
      <c r="A385" s="22"/>
      <c r="B385" s="16"/>
      <c r="C385" s="23"/>
      <c r="D385" s="2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8.75" customHeight="1" x14ac:dyDescent="0.2">
      <c r="A386" s="22"/>
      <c r="B386" s="16"/>
      <c r="C386" s="23"/>
      <c r="D386" s="2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8.75" customHeight="1" x14ac:dyDescent="0.2">
      <c r="A387" s="22"/>
      <c r="B387" s="16"/>
      <c r="C387" s="23"/>
      <c r="D387" s="2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8.75" customHeight="1" x14ac:dyDescent="0.2">
      <c r="A388" s="22"/>
      <c r="B388" s="16"/>
      <c r="C388" s="23"/>
      <c r="D388" s="2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8.75" customHeight="1" x14ac:dyDescent="0.2">
      <c r="A389" s="22"/>
      <c r="B389" s="16"/>
      <c r="C389" s="23"/>
      <c r="D389" s="2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8.75" customHeight="1" x14ac:dyDescent="0.2">
      <c r="A390" s="22"/>
      <c r="B390" s="16"/>
      <c r="C390" s="23"/>
      <c r="D390" s="2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8.75" customHeight="1" x14ac:dyDescent="0.2">
      <c r="A391" s="22"/>
      <c r="B391" s="16"/>
      <c r="C391" s="23"/>
      <c r="D391" s="2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8.75" customHeight="1" x14ac:dyDescent="0.2">
      <c r="A392" s="22"/>
      <c r="B392" s="16"/>
      <c r="C392" s="23"/>
      <c r="D392" s="2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8.75" customHeight="1" x14ac:dyDescent="0.2">
      <c r="A393" s="22"/>
      <c r="B393" s="16"/>
      <c r="C393" s="23"/>
      <c r="D393" s="2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8.75" customHeight="1" x14ac:dyDescent="0.2">
      <c r="A394" s="22"/>
      <c r="B394" s="16"/>
      <c r="C394" s="23"/>
      <c r="D394" s="2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8.75" customHeight="1" x14ac:dyDescent="0.2">
      <c r="A395" s="22"/>
      <c r="B395" s="16"/>
      <c r="C395" s="23"/>
      <c r="D395" s="2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8.75" customHeight="1" x14ac:dyDescent="0.2">
      <c r="A396" s="22"/>
      <c r="B396" s="16"/>
      <c r="C396" s="23"/>
      <c r="D396" s="2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8.75" customHeight="1" x14ac:dyDescent="0.2">
      <c r="A397" s="22"/>
      <c r="B397" s="16"/>
      <c r="C397" s="23"/>
      <c r="D397" s="2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8.75" customHeight="1" x14ac:dyDescent="0.2">
      <c r="A398" s="22"/>
      <c r="B398" s="16"/>
      <c r="C398" s="23"/>
      <c r="D398" s="2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8.75" customHeight="1" x14ac:dyDescent="0.2">
      <c r="A399" s="22"/>
      <c r="B399" s="16"/>
      <c r="C399" s="23"/>
      <c r="D399" s="2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8.75" customHeight="1" x14ac:dyDescent="0.2">
      <c r="A400" s="22"/>
      <c r="B400" s="16"/>
      <c r="C400" s="23"/>
      <c r="D400" s="2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8.75" customHeight="1" x14ac:dyDescent="0.2">
      <c r="A401" s="22"/>
      <c r="B401" s="16"/>
      <c r="C401" s="23"/>
      <c r="D401" s="24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8.75" customHeight="1" x14ac:dyDescent="0.2">
      <c r="A402" s="22"/>
      <c r="B402" s="16"/>
      <c r="C402" s="23"/>
      <c r="D402" s="24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8.75" customHeight="1" x14ac:dyDescent="0.2">
      <c r="A403" s="22"/>
      <c r="B403" s="16"/>
      <c r="C403" s="23"/>
      <c r="D403" s="2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8.75" customHeight="1" x14ac:dyDescent="0.2">
      <c r="A404" s="22"/>
      <c r="B404" s="16"/>
      <c r="C404" s="23"/>
      <c r="D404" s="24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8.75" customHeight="1" x14ac:dyDescent="0.2">
      <c r="A405" s="22"/>
      <c r="B405" s="16"/>
      <c r="C405" s="23"/>
      <c r="D405" s="24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8.75" customHeight="1" x14ac:dyDescent="0.2">
      <c r="A406" s="22"/>
      <c r="B406" s="16"/>
      <c r="C406" s="23"/>
      <c r="D406" s="2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8.75" customHeight="1" x14ac:dyDescent="0.2">
      <c r="A407" s="22"/>
      <c r="B407" s="16"/>
      <c r="C407" s="23"/>
      <c r="D407" s="24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8.75" customHeight="1" x14ac:dyDescent="0.2">
      <c r="A408" s="22"/>
      <c r="B408" s="16"/>
      <c r="C408" s="23"/>
      <c r="D408" s="24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8.75" customHeight="1" x14ac:dyDescent="0.2">
      <c r="A409" s="22"/>
      <c r="B409" s="16"/>
      <c r="C409" s="23"/>
      <c r="D409" s="24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8.75" customHeight="1" x14ac:dyDescent="0.2">
      <c r="A410" s="22"/>
      <c r="B410" s="16"/>
      <c r="C410" s="23"/>
      <c r="D410" s="24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8.75" customHeight="1" x14ac:dyDescent="0.2">
      <c r="A411" s="22"/>
      <c r="B411" s="16"/>
      <c r="C411" s="23"/>
      <c r="D411" s="24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8.75" customHeight="1" x14ac:dyDescent="0.2">
      <c r="A412" s="22"/>
      <c r="B412" s="16"/>
      <c r="C412" s="23"/>
      <c r="D412" s="24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8.75" customHeight="1" x14ac:dyDescent="0.2">
      <c r="A413" s="22"/>
      <c r="B413" s="16"/>
      <c r="C413" s="23"/>
      <c r="D413" s="24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8.75" customHeight="1" x14ac:dyDescent="0.2">
      <c r="A414" s="22"/>
      <c r="B414" s="16"/>
      <c r="C414" s="23"/>
      <c r="D414" s="24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8.75" customHeight="1" x14ac:dyDescent="0.2">
      <c r="A415" s="22"/>
      <c r="B415" s="16"/>
      <c r="C415" s="23"/>
      <c r="D415" s="24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8.75" customHeight="1" x14ac:dyDescent="0.2">
      <c r="A416" s="22"/>
      <c r="B416" s="16"/>
      <c r="C416" s="23"/>
      <c r="D416" s="24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8.75" customHeight="1" x14ac:dyDescent="0.2">
      <c r="A417" s="22"/>
      <c r="B417" s="16"/>
      <c r="C417" s="23"/>
      <c r="D417" s="24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8.75" customHeight="1" x14ac:dyDescent="0.2">
      <c r="A418" s="22"/>
      <c r="B418" s="16"/>
      <c r="C418" s="23"/>
      <c r="D418" s="24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8.75" customHeight="1" x14ac:dyDescent="0.2">
      <c r="A419" s="22"/>
      <c r="B419" s="16"/>
      <c r="C419" s="23"/>
      <c r="D419" s="24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8.75" customHeight="1" x14ac:dyDescent="0.2">
      <c r="A420" s="22"/>
      <c r="B420" s="16"/>
      <c r="C420" s="23"/>
      <c r="D420" s="24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8.75" customHeight="1" x14ac:dyDescent="0.2">
      <c r="A421" s="22"/>
      <c r="B421" s="16"/>
      <c r="C421" s="23"/>
      <c r="D421" s="24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8.75" customHeight="1" x14ac:dyDescent="0.2">
      <c r="A422" s="22"/>
      <c r="B422" s="16"/>
      <c r="C422" s="23"/>
      <c r="D422" s="24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8.75" customHeight="1" x14ac:dyDescent="0.2">
      <c r="A423" s="22"/>
      <c r="B423" s="16"/>
      <c r="C423" s="23"/>
      <c r="D423" s="2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8.75" customHeight="1" x14ac:dyDescent="0.2">
      <c r="A424" s="22"/>
      <c r="B424" s="16"/>
      <c r="C424" s="23"/>
      <c r="D424" s="2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8.75" customHeight="1" x14ac:dyDescent="0.2">
      <c r="A425" s="22"/>
      <c r="B425" s="16"/>
      <c r="C425" s="23"/>
      <c r="D425" s="2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8.75" customHeight="1" x14ac:dyDescent="0.2">
      <c r="A426" s="22"/>
      <c r="B426" s="16"/>
      <c r="C426" s="23"/>
      <c r="D426" s="24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8.75" customHeight="1" x14ac:dyDescent="0.2">
      <c r="A427" s="22"/>
      <c r="B427" s="16"/>
      <c r="C427" s="23"/>
      <c r="D427" s="24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8.75" customHeight="1" x14ac:dyDescent="0.2">
      <c r="A428" s="22"/>
      <c r="B428" s="16"/>
      <c r="C428" s="23"/>
      <c r="D428" s="24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8.75" customHeight="1" x14ac:dyDescent="0.2">
      <c r="A429" s="22"/>
      <c r="B429" s="16"/>
      <c r="C429" s="23"/>
      <c r="D429" s="24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8.75" customHeight="1" x14ac:dyDescent="0.2">
      <c r="A430" s="22"/>
      <c r="B430" s="16"/>
      <c r="C430" s="23"/>
      <c r="D430" s="24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8.75" customHeight="1" x14ac:dyDescent="0.2">
      <c r="A431" s="22"/>
      <c r="B431" s="16"/>
      <c r="C431" s="23"/>
      <c r="D431" s="24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8.75" customHeight="1" x14ac:dyDescent="0.2">
      <c r="A432" s="22"/>
      <c r="B432" s="16"/>
      <c r="C432" s="23"/>
      <c r="D432" s="24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8.75" customHeight="1" x14ac:dyDescent="0.2">
      <c r="A433" s="22"/>
      <c r="B433" s="16"/>
      <c r="C433" s="23"/>
      <c r="D433" s="24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8.75" customHeight="1" x14ac:dyDescent="0.2">
      <c r="A434" s="22"/>
      <c r="B434" s="16"/>
      <c r="C434" s="23"/>
      <c r="D434" s="24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8.75" customHeight="1" x14ac:dyDescent="0.2">
      <c r="A435" s="22"/>
      <c r="B435" s="16"/>
      <c r="C435" s="23"/>
      <c r="D435" s="24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8.75" customHeight="1" x14ac:dyDescent="0.2">
      <c r="A436" s="22"/>
      <c r="B436" s="16"/>
      <c r="C436" s="23"/>
      <c r="D436" s="24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8.75" customHeight="1" x14ac:dyDescent="0.2">
      <c r="A437" s="22"/>
      <c r="B437" s="16"/>
      <c r="C437" s="23"/>
      <c r="D437" s="24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8.75" customHeight="1" x14ac:dyDescent="0.2">
      <c r="A438" s="22"/>
      <c r="B438" s="16"/>
      <c r="C438" s="23"/>
      <c r="D438" s="24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8.75" customHeight="1" x14ac:dyDescent="0.2">
      <c r="A439" s="22"/>
      <c r="B439" s="16"/>
      <c r="C439" s="23"/>
      <c r="D439" s="2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8.75" customHeight="1" x14ac:dyDescent="0.2">
      <c r="A440" s="22"/>
      <c r="B440" s="16"/>
      <c r="C440" s="23"/>
      <c r="D440" s="24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8.75" customHeight="1" x14ac:dyDescent="0.2">
      <c r="A441" s="22"/>
      <c r="B441" s="16"/>
      <c r="C441" s="23"/>
      <c r="D441" s="24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8.75" customHeight="1" x14ac:dyDescent="0.2">
      <c r="A442" s="22"/>
      <c r="B442" s="16"/>
      <c r="C442" s="23"/>
      <c r="D442" s="24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8.75" customHeight="1" x14ac:dyDescent="0.2">
      <c r="A443" s="22"/>
      <c r="B443" s="16"/>
      <c r="C443" s="23"/>
      <c r="D443" s="24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8.75" customHeight="1" x14ac:dyDescent="0.2">
      <c r="A444" s="22"/>
      <c r="B444" s="16"/>
      <c r="C444" s="23"/>
      <c r="D444" s="24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8.75" customHeight="1" x14ac:dyDescent="0.2">
      <c r="A445" s="22"/>
      <c r="B445" s="16"/>
      <c r="C445" s="23"/>
      <c r="D445" s="24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8.75" customHeight="1" x14ac:dyDescent="0.2">
      <c r="A446" s="22"/>
      <c r="B446" s="16"/>
      <c r="C446" s="23"/>
      <c r="D446" s="24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8.75" customHeight="1" x14ac:dyDescent="0.2">
      <c r="A447" s="22"/>
      <c r="B447" s="16"/>
      <c r="C447" s="23"/>
      <c r="D447" s="24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8.75" customHeight="1" x14ac:dyDescent="0.2">
      <c r="A448" s="22"/>
      <c r="B448" s="16"/>
      <c r="C448" s="23"/>
      <c r="D448" s="2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8.75" customHeight="1" x14ac:dyDescent="0.2">
      <c r="A449" s="22"/>
      <c r="B449" s="16"/>
      <c r="C449" s="23"/>
      <c r="D449" s="24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8.75" customHeight="1" x14ac:dyDescent="0.2">
      <c r="A450" s="22"/>
      <c r="B450" s="16"/>
      <c r="C450" s="23"/>
      <c r="D450" s="24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8.75" customHeight="1" x14ac:dyDescent="0.2">
      <c r="A451" s="22"/>
      <c r="B451" s="16"/>
      <c r="C451" s="23"/>
      <c r="D451" s="24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8.75" customHeight="1" x14ac:dyDescent="0.2">
      <c r="A452" s="22"/>
      <c r="B452" s="16"/>
      <c r="C452" s="23"/>
      <c r="D452" s="24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8.75" customHeight="1" x14ac:dyDescent="0.2">
      <c r="A453" s="22"/>
      <c r="B453" s="16"/>
      <c r="C453" s="23"/>
      <c r="D453" s="24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8.75" customHeight="1" x14ac:dyDescent="0.2">
      <c r="A454" s="22"/>
      <c r="B454" s="16"/>
      <c r="C454" s="23"/>
      <c r="D454" s="24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8.75" customHeight="1" x14ac:dyDescent="0.2">
      <c r="A455" s="22"/>
      <c r="B455" s="16"/>
      <c r="C455" s="23"/>
      <c r="D455" s="24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8.75" customHeight="1" x14ac:dyDescent="0.2">
      <c r="A456" s="22"/>
      <c r="B456" s="16"/>
      <c r="C456" s="23"/>
      <c r="D456" s="24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8.75" customHeight="1" x14ac:dyDescent="0.2">
      <c r="A457" s="22"/>
      <c r="B457" s="16"/>
      <c r="C457" s="23"/>
      <c r="D457" s="24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8.75" customHeight="1" x14ac:dyDescent="0.2">
      <c r="A458" s="22"/>
      <c r="B458" s="16"/>
      <c r="C458" s="23"/>
      <c r="D458" s="24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8.75" customHeight="1" x14ac:dyDescent="0.2">
      <c r="A459" s="22"/>
      <c r="B459" s="16"/>
      <c r="C459" s="23"/>
      <c r="D459" s="24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8.75" customHeight="1" x14ac:dyDescent="0.2">
      <c r="A460" s="22"/>
      <c r="B460" s="16"/>
      <c r="C460" s="23"/>
      <c r="D460" s="24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8.75" customHeight="1" x14ac:dyDescent="0.2">
      <c r="A461" s="22"/>
      <c r="B461" s="16"/>
      <c r="C461" s="23"/>
      <c r="D461" s="24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8.75" customHeight="1" x14ac:dyDescent="0.2">
      <c r="A462" s="22"/>
      <c r="B462" s="16"/>
      <c r="C462" s="23"/>
      <c r="D462" s="24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8.75" customHeight="1" x14ac:dyDescent="0.2">
      <c r="A463" s="22"/>
      <c r="B463" s="16"/>
      <c r="C463" s="23"/>
      <c r="D463" s="24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8.75" customHeight="1" x14ac:dyDescent="0.2">
      <c r="A464" s="22"/>
      <c r="B464" s="16"/>
      <c r="C464" s="23"/>
      <c r="D464" s="24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8.75" customHeight="1" x14ac:dyDescent="0.2">
      <c r="A465" s="22"/>
      <c r="B465" s="16"/>
      <c r="C465" s="23"/>
      <c r="D465" s="24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8.75" customHeight="1" x14ac:dyDescent="0.2">
      <c r="A466" s="22"/>
      <c r="B466" s="16"/>
      <c r="C466" s="23"/>
      <c r="D466" s="24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8.75" customHeight="1" x14ac:dyDescent="0.2">
      <c r="A467" s="22"/>
      <c r="B467" s="16"/>
      <c r="C467" s="23"/>
      <c r="D467" s="24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8.75" customHeight="1" x14ac:dyDescent="0.2">
      <c r="A468" s="22"/>
      <c r="B468" s="16"/>
      <c r="C468" s="23"/>
      <c r="D468" s="24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8.75" customHeight="1" x14ac:dyDescent="0.2">
      <c r="A469" s="22"/>
      <c r="B469" s="16"/>
      <c r="C469" s="23"/>
      <c r="D469" s="24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8.75" customHeight="1" x14ac:dyDescent="0.2">
      <c r="A470" s="22"/>
      <c r="B470" s="16"/>
      <c r="C470" s="23"/>
      <c r="D470" s="24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8.75" customHeight="1" x14ac:dyDescent="0.2">
      <c r="A471" s="22"/>
      <c r="B471" s="16"/>
      <c r="C471" s="23"/>
      <c r="D471" s="24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8.75" customHeight="1" x14ac:dyDescent="0.2">
      <c r="A472" s="22"/>
      <c r="B472" s="16"/>
      <c r="C472" s="23"/>
      <c r="D472" s="24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8.75" customHeight="1" x14ac:dyDescent="0.2">
      <c r="A473" s="22"/>
      <c r="B473" s="16"/>
      <c r="C473" s="23"/>
      <c r="D473" s="24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8.75" customHeight="1" x14ac:dyDescent="0.2">
      <c r="A474" s="22"/>
      <c r="B474" s="16"/>
      <c r="C474" s="23"/>
      <c r="D474" s="24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8.75" customHeight="1" x14ac:dyDescent="0.2">
      <c r="A475" s="22"/>
      <c r="B475" s="16"/>
      <c r="C475" s="23"/>
      <c r="D475" s="24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8.75" customHeight="1" x14ac:dyDescent="0.2">
      <c r="A476" s="22"/>
      <c r="B476" s="16"/>
      <c r="C476" s="23"/>
      <c r="D476" s="24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8.75" customHeight="1" x14ac:dyDescent="0.2">
      <c r="A477" s="22"/>
      <c r="B477" s="16"/>
      <c r="C477" s="23"/>
      <c r="D477" s="2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8.75" customHeight="1" x14ac:dyDescent="0.2">
      <c r="A478" s="22"/>
      <c r="B478" s="16"/>
      <c r="C478" s="23"/>
      <c r="D478" s="2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8.75" customHeight="1" x14ac:dyDescent="0.2">
      <c r="A479" s="22"/>
      <c r="B479" s="16"/>
      <c r="C479" s="23"/>
      <c r="D479" s="2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8.75" customHeight="1" x14ac:dyDescent="0.2">
      <c r="A480" s="22"/>
      <c r="B480" s="16"/>
      <c r="C480" s="23"/>
      <c r="D480" s="24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8.75" customHeight="1" x14ac:dyDescent="0.2">
      <c r="A481" s="22"/>
      <c r="B481" s="16"/>
      <c r="C481" s="23"/>
      <c r="D481" s="24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8.75" customHeight="1" x14ac:dyDescent="0.2">
      <c r="A482" s="22"/>
      <c r="B482" s="16"/>
      <c r="C482" s="23"/>
      <c r="D482" s="24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8.75" customHeight="1" x14ac:dyDescent="0.2">
      <c r="A483" s="22"/>
      <c r="B483" s="16"/>
      <c r="C483" s="23"/>
      <c r="D483" s="24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8.75" customHeight="1" x14ac:dyDescent="0.2">
      <c r="A484" s="22"/>
      <c r="B484" s="16"/>
      <c r="C484" s="23"/>
      <c r="D484" s="24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8.75" customHeight="1" x14ac:dyDescent="0.2">
      <c r="A485" s="22"/>
      <c r="B485" s="16"/>
      <c r="C485" s="23"/>
      <c r="D485" s="24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8.75" customHeight="1" x14ac:dyDescent="0.2">
      <c r="A486" s="22"/>
      <c r="B486" s="16"/>
      <c r="C486" s="23"/>
      <c r="D486" s="24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8.75" customHeight="1" x14ac:dyDescent="0.2">
      <c r="A487" s="22"/>
      <c r="B487" s="16"/>
      <c r="C487" s="23"/>
      <c r="D487" s="24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8.75" customHeight="1" x14ac:dyDescent="0.2">
      <c r="A488" s="22"/>
      <c r="B488" s="16"/>
      <c r="C488" s="23"/>
      <c r="D488" s="24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8.75" customHeight="1" x14ac:dyDescent="0.2">
      <c r="A489" s="22"/>
      <c r="B489" s="16"/>
      <c r="C489" s="23"/>
      <c r="D489" s="24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8.75" customHeight="1" x14ac:dyDescent="0.2">
      <c r="A490" s="22"/>
      <c r="B490" s="16"/>
      <c r="C490" s="23"/>
      <c r="D490" s="24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8.75" customHeight="1" x14ac:dyDescent="0.2">
      <c r="A491" s="22"/>
      <c r="B491" s="16"/>
      <c r="C491" s="23"/>
      <c r="D491" s="24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8.75" customHeight="1" x14ac:dyDescent="0.2">
      <c r="A492" s="22"/>
      <c r="B492" s="16"/>
      <c r="C492" s="23"/>
      <c r="D492" s="24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8.75" customHeight="1" x14ac:dyDescent="0.2">
      <c r="A493" s="22"/>
      <c r="B493" s="16"/>
      <c r="C493" s="23"/>
      <c r="D493" s="24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8.75" customHeight="1" x14ac:dyDescent="0.2">
      <c r="A494" s="22"/>
      <c r="B494" s="16"/>
      <c r="C494" s="23"/>
      <c r="D494" s="24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8.75" customHeight="1" x14ac:dyDescent="0.2">
      <c r="A495" s="22"/>
      <c r="B495" s="16"/>
      <c r="C495" s="23"/>
      <c r="D495" s="24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8.75" customHeight="1" x14ac:dyDescent="0.2">
      <c r="A496" s="22"/>
      <c r="B496" s="16"/>
      <c r="C496" s="23"/>
      <c r="D496" s="24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8.75" customHeight="1" x14ac:dyDescent="0.2">
      <c r="A497" s="22"/>
      <c r="B497" s="16"/>
      <c r="C497" s="23"/>
      <c r="D497" s="24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8.75" customHeight="1" x14ac:dyDescent="0.2">
      <c r="A498" s="22"/>
      <c r="B498" s="16"/>
      <c r="C498" s="23"/>
      <c r="D498" s="24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8.75" customHeight="1" x14ac:dyDescent="0.2">
      <c r="A499" s="22"/>
      <c r="B499" s="16"/>
      <c r="C499" s="23"/>
      <c r="D499" s="24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8.75" customHeight="1" x14ac:dyDescent="0.2">
      <c r="A500" s="22"/>
      <c r="B500" s="16"/>
      <c r="C500" s="23"/>
      <c r="D500" s="24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8.75" customHeight="1" x14ac:dyDescent="0.2">
      <c r="A501" s="22"/>
      <c r="B501" s="16"/>
      <c r="C501" s="23"/>
      <c r="D501" s="24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8.75" customHeight="1" x14ac:dyDescent="0.2">
      <c r="A502" s="22"/>
      <c r="B502" s="16"/>
      <c r="C502" s="23"/>
      <c r="D502" s="2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8.75" customHeight="1" x14ac:dyDescent="0.2">
      <c r="A503" s="22"/>
      <c r="B503" s="16"/>
      <c r="C503" s="23"/>
      <c r="D503" s="24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8.75" customHeight="1" x14ac:dyDescent="0.2">
      <c r="A504" s="22"/>
      <c r="B504" s="16"/>
      <c r="C504" s="23"/>
      <c r="D504" s="24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8.75" customHeight="1" x14ac:dyDescent="0.2">
      <c r="A505" s="22"/>
      <c r="B505" s="16"/>
      <c r="C505" s="23"/>
      <c r="D505" s="2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8.75" customHeight="1" x14ac:dyDescent="0.2">
      <c r="A506" s="22"/>
      <c r="B506" s="16"/>
      <c r="C506" s="23"/>
      <c r="D506" s="24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8.75" customHeight="1" x14ac:dyDescent="0.2">
      <c r="A507" s="22"/>
      <c r="B507" s="16"/>
      <c r="C507" s="23"/>
      <c r="D507" s="24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8.75" customHeight="1" x14ac:dyDescent="0.2">
      <c r="A508" s="22"/>
      <c r="B508" s="16"/>
      <c r="C508" s="23"/>
      <c r="D508" s="24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8.75" customHeight="1" x14ac:dyDescent="0.2">
      <c r="A509" s="22"/>
      <c r="B509" s="16"/>
      <c r="C509" s="23"/>
      <c r="D509" s="24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8.75" customHeight="1" x14ac:dyDescent="0.2">
      <c r="A510" s="22"/>
      <c r="B510" s="16"/>
      <c r="C510" s="23"/>
      <c r="D510" s="24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8.75" customHeight="1" x14ac:dyDescent="0.2">
      <c r="A511" s="22"/>
      <c r="B511" s="16"/>
      <c r="C511" s="23"/>
      <c r="D511" s="24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8.75" customHeight="1" x14ac:dyDescent="0.2">
      <c r="A512" s="22"/>
      <c r="B512" s="16"/>
      <c r="C512" s="23"/>
      <c r="D512" s="24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8.75" customHeight="1" x14ac:dyDescent="0.2">
      <c r="A513" s="22"/>
      <c r="B513" s="16"/>
      <c r="C513" s="23"/>
      <c r="D513" s="24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8.75" customHeight="1" x14ac:dyDescent="0.2">
      <c r="A514" s="22"/>
      <c r="B514" s="16"/>
      <c r="C514" s="23"/>
      <c r="D514" s="24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8.75" customHeight="1" x14ac:dyDescent="0.2">
      <c r="A515" s="22"/>
      <c r="B515" s="16"/>
      <c r="C515" s="23"/>
      <c r="D515" s="24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8.75" customHeight="1" x14ac:dyDescent="0.2">
      <c r="A516" s="22"/>
      <c r="B516" s="16"/>
      <c r="C516" s="23"/>
      <c r="D516" s="24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8.75" customHeight="1" x14ac:dyDescent="0.2">
      <c r="A517" s="22"/>
      <c r="B517" s="16"/>
      <c r="C517" s="23"/>
      <c r="D517" s="24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8.75" customHeight="1" x14ac:dyDescent="0.2">
      <c r="A518" s="22"/>
      <c r="B518" s="16"/>
      <c r="C518" s="23"/>
      <c r="D518" s="24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8.75" customHeight="1" x14ac:dyDescent="0.2">
      <c r="A519" s="22"/>
      <c r="B519" s="16"/>
      <c r="C519" s="23"/>
      <c r="D519" s="24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8.75" customHeight="1" x14ac:dyDescent="0.2">
      <c r="A520" s="22"/>
      <c r="B520" s="16"/>
      <c r="C520" s="23"/>
      <c r="D520" s="24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8.75" customHeight="1" x14ac:dyDescent="0.2">
      <c r="A521" s="22"/>
      <c r="B521" s="16"/>
      <c r="C521" s="23"/>
      <c r="D521" s="24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8.75" customHeight="1" x14ac:dyDescent="0.2">
      <c r="A522" s="22"/>
      <c r="B522" s="16"/>
      <c r="C522" s="23"/>
      <c r="D522" s="24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8.75" customHeight="1" x14ac:dyDescent="0.2">
      <c r="A523" s="22"/>
      <c r="B523" s="16"/>
      <c r="C523" s="23"/>
      <c r="D523" s="24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8.75" customHeight="1" x14ac:dyDescent="0.2">
      <c r="A524" s="22"/>
      <c r="B524" s="16"/>
      <c r="C524" s="23"/>
      <c r="D524" s="2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8.75" customHeight="1" x14ac:dyDescent="0.2">
      <c r="A525" s="22"/>
      <c r="B525" s="16"/>
      <c r="C525" s="23"/>
      <c r="D525" s="24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8.75" customHeight="1" x14ac:dyDescent="0.2">
      <c r="A526" s="22"/>
      <c r="B526" s="16"/>
      <c r="C526" s="23"/>
      <c r="D526" s="24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8.75" customHeight="1" x14ac:dyDescent="0.2">
      <c r="A527" s="22"/>
      <c r="B527" s="16"/>
      <c r="C527" s="23"/>
      <c r="D527" s="24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8.75" customHeight="1" x14ac:dyDescent="0.2">
      <c r="A528" s="22"/>
      <c r="B528" s="16"/>
      <c r="C528" s="23"/>
      <c r="D528" s="24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8.75" customHeight="1" x14ac:dyDescent="0.2">
      <c r="A529" s="22"/>
      <c r="B529" s="16"/>
      <c r="C529" s="23"/>
      <c r="D529" s="24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8.75" customHeight="1" x14ac:dyDescent="0.2">
      <c r="A530" s="22"/>
      <c r="B530" s="16"/>
      <c r="C530" s="23"/>
      <c r="D530" s="2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8.75" customHeight="1" x14ac:dyDescent="0.2">
      <c r="A531" s="22"/>
      <c r="B531" s="16"/>
      <c r="C531" s="23"/>
      <c r="D531" s="2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8.75" customHeight="1" x14ac:dyDescent="0.2">
      <c r="A532" s="22"/>
      <c r="B532" s="16"/>
      <c r="C532" s="23"/>
      <c r="D532" s="2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8.75" customHeight="1" x14ac:dyDescent="0.2">
      <c r="A533" s="22"/>
      <c r="B533" s="16"/>
      <c r="C533" s="23"/>
      <c r="D533" s="2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8.75" customHeight="1" x14ac:dyDescent="0.2">
      <c r="A534" s="22"/>
      <c r="B534" s="16"/>
      <c r="C534" s="23"/>
      <c r="D534" s="24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8.75" customHeight="1" x14ac:dyDescent="0.2">
      <c r="A535" s="22"/>
      <c r="B535" s="16"/>
      <c r="C535" s="23"/>
      <c r="D535" s="24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8.75" customHeight="1" x14ac:dyDescent="0.2">
      <c r="A536" s="22"/>
      <c r="B536" s="16"/>
      <c r="C536" s="23"/>
      <c r="D536" s="24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8.75" customHeight="1" x14ac:dyDescent="0.2">
      <c r="A537" s="22"/>
      <c r="B537" s="16"/>
      <c r="C537" s="23"/>
      <c r="D537" s="24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8.75" customHeight="1" x14ac:dyDescent="0.2">
      <c r="A538" s="22"/>
      <c r="B538" s="16"/>
      <c r="C538" s="23"/>
      <c r="D538" s="2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8.75" customHeight="1" x14ac:dyDescent="0.2">
      <c r="A539" s="22"/>
      <c r="B539" s="16"/>
      <c r="C539" s="23"/>
      <c r="D539" s="24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8.75" customHeight="1" x14ac:dyDescent="0.2">
      <c r="A540" s="22"/>
      <c r="B540" s="16"/>
      <c r="C540" s="23"/>
      <c r="D540" s="24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8.75" customHeight="1" x14ac:dyDescent="0.2">
      <c r="A541" s="22"/>
      <c r="B541" s="16"/>
      <c r="C541" s="23"/>
      <c r="D541" s="24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8.75" customHeight="1" x14ac:dyDescent="0.2">
      <c r="A542" s="22"/>
      <c r="B542" s="16"/>
      <c r="C542" s="23"/>
      <c r="D542" s="24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8.75" customHeight="1" x14ac:dyDescent="0.2">
      <c r="A543" s="22"/>
      <c r="B543" s="16"/>
      <c r="C543" s="23"/>
      <c r="D543" s="24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8.75" customHeight="1" x14ac:dyDescent="0.2">
      <c r="A544" s="22"/>
      <c r="B544" s="16"/>
      <c r="C544" s="23"/>
      <c r="D544" s="24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8.75" customHeight="1" x14ac:dyDescent="0.2">
      <c r="A545" s="22"/>
      <c r="B545" s="16"/>
      <c r="C545" s="23"/>
      <c r="D545" s="24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8.75" customHeight="1" x14ac:dyDescent="0.2">
      <c r="A546" s="22"/>
      <c r="B546" s="16"/>
      <c r="C546" s="23"/>
      <c r="D546" s="24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8.75" customHeight="1" x14ac:dyDescent="0.2">
      <c r="A547" s="22"/>
      <c r="B547" s="16"/>
      <c r="C547" s="23"/>
      <c r="D547" s="2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8.75" customHeight="1" x14ac:dyDescent="0.2">
      <c r="A548" s="22"/>
      <c r="B548" s="16"/>
      <c r="C548" s="23"/>
      <c r="D548" s="24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8.75" customHeight="1" x14ac:dyDescent="0.2">
      <c r="A549" s="22"/>
      <c r="B549" s="16"/>
      <c r="C549" s="23"/>
      <c r="D549" s="24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8.75" customHeight="1" x14ac:dyDescent="0.2">
      <c r="A550" s="22"/>
      <c r="B550" s="16"/>
      <c r="C550" s="23"/>
      <c r="D550" s="24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8.75" customHeight="1" x14ac:dyDescent="0.2">
      <c r="A551" s="22"/>
      <c r="B551" s="16"/>
      <c r="C551" s="23"/>
      <c r="D551" s="24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8.75" customHeight="1" x14ac:dyDescent="0.2">
      <c r="A552" s="22"/>
      <c r="B552" s="16"/>
      <c r="C552" s="23"/>
      <c r="D552" s="24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8.75" customHeight="1" x14ac:dyDescent="0.2">
      <c r="A553" s="22"/>
      <c r="B553" s="16"/>
      <c r="C553" s="23"/>
      <c r="D553" s="24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8.75" customHeight="1" x14ac:dyDescent="0.2">
      <c r="A554" s="22"/>
      <c r="B554" s="16"/>
      <c r="C554" s="23"/>
      <c r="D554" s="24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8.75" customHeight="1" x14ac:dyDescent="0.2">
      <c r="A555" s="22"/>
      <c r="B555" s="16"/>
      <c r="C555" s="23"/>
      <c r="D555" s="24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8.75" customHeight="1" x14ac:dyDescent="0.2">
      <c r="A556" s="22"/>
      <c r="B556" s="16"/>
      <c r="C556" s="23"/>
      <c r="D556" s="24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8.75" customHeight="1" x14ac:dyDescent="0.2">
      <c r="A557" s="22"/>
      <c r="B557" s="16"/>
      <c r="C557" s="23"/>
      <c r="D557" s="24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8.75" customHeight="1" x14ac:dyDescent="0.2">
      <c r="A558" s="22"/>
      <c r="B558" s="16"/>
      <c r="C558" s="23"/>
      <c r="D558" s="24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8.75" customHeight="1" x14ac:dyDescent="0.2">
      <c r="A559" s="22"/>
      <c r="B559" s="16"/>
      <c r="C559" s="23"/>
      <c r="D559" s="24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8.75" customHeight="1" x14ac:dyDescent="0.2">
      <c r="A560" s="22"/>
      <c r="B560" s="16"/>
      <c r="C560" s="23"/>
      <c r="D560" s="24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8.75" customHeight="1" x14ac:dyDescent="0.2">
      <c r="A561" s="22"/>
      <c r="B561" s="16"/>
      <c r="C561" s="23"/>
      <c r="D561" s="24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8.75" customHeight="1" x14ac:dyDescent="0.2">
      <c r="A562" s="22"/>
      <c r="B562" s="16"/>
      <c r="C562" s="23"/>
      <c r="D562" s="24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8.75" customHeight="1" x14ac:dyDescent="0.2">
      <c r="A563" s="22"/>
      <c r="B563" s="16"/>
      <c r="C563" s="23"/>
      <c r="D563" s="24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8.75" customHeight="1" x14ac:dyDescent="0.2">
      <c r="A564" s="22"/>
      <c r="B564" s="16"/>
      <c r="C564" s="23"/>
      <c r="D564" s="24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8.75" customHeight="1" x14ac:dyDescent="0.2">
      <c r="A565" s="22"/>
      <c r="B565" s="16"/>
      <c r="C565" s="23"/>
      <c r="D565" s="24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8.75" customHeight="1" x14ac:dyDescent="0.2">
      <c r="A566" s="22"/>
      <c r="B566" s="16"/>
      <c r="C566" s="23"/>
      <c r="D566" s="24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8.75" customHeight="1" x14ac:dyDescent="0.2">
      <c r="A567" s="22"/>
      <c r="B567" s="16"/>
      <c r="C567" s="23"/>
      <c r="D567" s="24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8.75" customHeight="1" x14ac:dyDescent="0.2">
      <c r="A568" s="22"/>
      <c r="B568" s="16"/>
      <c r="C568" s="23"/>
      <c r="D568" s="24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8.75" customHeight="1" x14ac:dyDescent="0.2">
      <c r="A569" s="22"/>
      <c r="B569" s="16"/>
      <c r="C569" s="23"/>
      <c r="D569" s="24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8.75" customHeight="1" x14ac:dyDescent="0.2">
      <c r="A570" s="22"/>
      <c r="B570" s="16"/>
      <c r="C570" s="23"/>
      <c r="D570" s="24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8.75" customHeight="1" x14ac:dyDescent="0.2">
      <c r="A571" s="22"/>
      <c r="B571" s="16"/>
      <c r="C571" s="23"/>
      <c r="D571" s="24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8.75" customHeight="1" x14ac:dyDescent="0.2">
      <c r="A572" s="22"/>
      <c r="B572" s="16"/>
      <c r="C572" s="23"/>
      <c r="D572" s="24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8.75" customHeight="1" x14ac:dyDescent="0.2">
      <c r="A573" s="22"/>
      <c r="B573" s="16"/>
      <c r="C573" s="23"/>
      <c r="D573" s="24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8.75" customHeight="1" x14ac:dyDescent="0.2">
      <c r="A574" s="22"/>
      <c r="B574" s="16"/>
      <c r="C574" s="23"/>
      <c r="D574" s="24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8.75" customHeight="1" x14ac:dyDescent="0.2">
      <c r="A575" s="22"/>
      <c r="B575" s="16"/>
      <c r="C575" s="23"/>
      <c r="D575" s="24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8.75" customHeight="1" x14ac:dyDescent="0.2">
      <c r="A576" s="22"/>
      <c r="B576" s="16"/>
      <c r="C576" s="23"/>
      <c r="D576" s="24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8.75" customHeight="1" x14ac:dyDescent="0.2">
      <c r="A577" s="22"/>
      <c r="B577" s="16"/>
      <c r="C577" s="23"/>
      <c r="D577" s="24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8.75" customHeight="1" x14ac:dyDescent="0.2">
      <c r="A578" s="22"/>
      <c r="B578" s="16"/>
      <c r="C578" s="23"/>
      <c r="D578" s="24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8.75" customHeight="1" x14ac:dyDescent="0.2">
      <c r="A579" s="22"/>
      <c r="B579" s="16"/>
      <c r="C579" s="23"/>
      <c r="D579" s="24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8.75" customHeight="1" x14ac:dyDescent="0.2">
      <c r="A580" s="22"/>
      <c r="B580" s="16"/>
      <c r="C580" s="23"/>
      <c r="D580" s="24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8.75" customHeight="1" x14ac:dyDescent="0.2">
      <c r="A581" s="22"/>
      <c r="B581" s="16"/>
      <c r="C581" s="23"/>
      <c r="D581" s="24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8.75" customHeight="1" x14ac:dyDescent="0.2">
      <c r="A582" s="22"/>
      <c r="B582" s="16"/>
      <c r="C582" s="23"/>
      <c r="D582" s="24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8.75" customHeight="1" x14ac:dyDescent="0.2">
      <c r="A583" s="22"/>
      <c r="B583" s="16"/>
      <c r="C583" s="23"/>
      <c r="D583" s="24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8.75" customHeight="1" x14ac:dyDescent="0.2">
      <c r="A584" s="22"/>
      <c r="B584" s="16"/>
      <c r="C584" s="23"/>
      <c r="D584" s="24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8.75" customHeight="1" x14ac:dyDescent="0.2">
      <c r="A585" s="22"/>
      <c r="B585" s="16"/>
      <c r="C585" s="23"/>
      <c r="D585" s="24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8.75" customHeight="1" x14ac:dyDescent="0.2">
      <c r="A586" s="22"/>
      <c r="B586" s="16"/>
      <c r="C586" s="23"/>
      <c r="D586" s="24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8.75" customHeight="1" x14ac:dyDescent="0.2">
      <c r="A587" s="22"/>
      <c r="B587" s="16"/>
      <c r="C587" s="23"/>
      <c r="D587" s="24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8.75" customHeight="1" x14ac:dyDescent="0.2">
      <c r="A588" s="22"/>
      <c r="B588" s="16"/>
      <c r="C588" s="23"/>
      <c r="D588" s="24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8.75" customHeight="1" x14ac:dyDescent="0.2">
      <c r="A589" s="22"/>
      <c r="B589" s="16"/>
      <c r="C589" s="23"/>
      <c r="D589" s="24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8.75" customHeight="1" x14ac:dyDescent="0.2">
      <c r="A590" s="22"/>
      <c r="B590" s="16"/>
      <c r="C590" s="23"/>
      <c r="D590" s="24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8.75" customHeight="1" x14ac:dyDescent="0.2">
      <c r="A591" s="22"/>
      <c r="B591" s="16"/>
      <c r="C591" s="23"/>
      <c r="D591" s="24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8.75" customHeight="1" x14ac:dyDescent="0.2">
      <c r="A592" s="22"/>
      <c r="B592" s="16"/>
      <c r="C592" s="23"/>
      <c r="D592" s="24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8.75" customHeight="1" x14ac:dyDescent="0.2">
      <c r="A593" s="22"/>
      <c r="B593" s="16"/>
      <c r="C593" s="23"/>
      <c r="D593" s="24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8.75" customHeight="1" x14ac:dyDescent="0.2">
      <c r="A594" s="22"/>
      <c r="B594" s="16"/>
      <c r="C594" s="23"/>
      <c r="D594" s="24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8.75" customHeight="1" x14ac:dyDescent="0.2">
      <c r="A595" s="22"/>
      <c r="B595" s="16"/>
      <c r="C595" s="23"/>
      <c r="D595" s="24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8.75" customHeight="1" x14ac:dyDescent="0.2">
      <c r="A596" s="22"/>
      <c r="B596" s="16"/>
      <c r="C596" s="23"/>
      <c r="D596" s="24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8.75" customHeight="1" x14ac:dyDescent="0.2">
      <c r="A597" s="22"/>
      <c r="B597" s="16"/>
      <c r="C597" s="23"/>
      <c r="D597" s="24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8.75" customHeight="1" x14ac:dyDescent="0.2">
      <c r="A598" s="22"/>
      <c r="B598" s="16"/>
      <c r="C598" s="23"/>
      <c r="D598" s="24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8.75" customHeight="1" x14ac:dyDescent="0.2">
      <c r="A599" s="22"/>
      <c r="B599" s="16"/>
      <c r="C599" s="23"/>
      <c r="D599" s="24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8.75" customHeight="1" x14ac:dyDescent="0.2">
      <c r="A600" s="22"/>
      <c r="B600" s="16"/>
      <c r="C600" s="23"/>
      <c r="D600" s="24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8.75" customHeight="1" x14ac:dyDescent="0.2">
      <c r="A601" s="22"/>
      <c r="B601" s="16"/>
      <c r="C601" s="23"/>
      <c r="D601" s="2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8.75" customHeight="1" x14ac:dyDescent="0.2">
      <c r="A602" s="22"/>
      <c r="B602" s="16"/>
      <c r="C602" s="23"/>
      <c r="D602" s="24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8.75" customHeight="1" x14ac:dyDescent="0.2">
      <c r="A603" s="22"/>
      <c r="B603" s="16"/>
      <c r="C603" s="23"/>
      <c r="D603" s="24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8.75" customHeight="1" x14ac:dyDescent="0.2">
      <c r="A604" s="22"/>
      <c r="B604" s="16"/>
      <c r="C604" s="23"/>
      <c r="D604" s="24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8.75" customHeight="1" x14ac:dyDescent="0.2">
      <c r="A605" s="22"/>
      <c r="B605" s="16"/>
      <c r="C605" s="23"/>
      <c r="D605" s="24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8.75" customHeight="1" x14ac:dyDescent="0.2">
      <c r="A606" s="22"/>
      <c r="B606" s="16"/>
      <c r="C606" s="23"/>
      <c r="D606" s="24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8.75" customHeight="1" x14ac:dyDescent="0.2">
      <c r="A607" s="22"/>
      <c r="B607" s="16"/>
      <c r="C607" s="23"/>
      <c r="D607" s="24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8.75" customHeight="1" x14ac:dyDescent="0.2">
      <c r="A608" s="22"/>
      <c r="B608" s="16"/>
      <c r="C608" s="23"/>
      <c r="D608" s="24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8.75" customHeight="1" x14ac:dyDescent="0.2">
      <c r="A609" s="22"/>
      <c r="B609" s="16"/>
      <c r="C609" s="23"/>
      <c r="D609" s="24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8.75" customHeight="1" x14ac:dyDescent="0.2">
      <c r="A610" s="22"/>
      <c r="B610" s="16"/>
      <c r="C610" s="23"/>
      <c r="D610" s="24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8.75" customHeight="1" x14ac:dyDescent="0.2">
      <c r="A611" s="22"/>
      <c r="B611" s="16"/>
      <c r="C611" s="23"/>
      <c r="D611" s="24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8.75" customHeight="1" x14ac:dyDescent="0.2">
      <c r="A612" s="22"/>
      <c r="B612" s="16"/>
      <c r="C612" s="23"/>
      <c r="D612" s="24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8.75" customHeight="1" x14ac:dyDescent="0.2">
      <c r="A613" s="22"/>
      <c r="B613" s="16"/>
      <c r="C613" s="23"/>
      <c r="D613" s="24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8.75" customHeight="1" x14ac:dyDescent="0.2">
      <c r="A614" s="22"/>
      <c r="B614" s="16"/>
      <c r="C614" s="23"/>
      <c r="D614" s="24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8.75" customHeight="1" x14ac:dyDescent="0.2">
      <c r="A615" s="22"/>
      <c r="B615" s="16"/>
      <c r="C615" s="23"/>
      <c r="D615" s="24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8.75" customHeight="1" x14ac:dyDescent="0.2">
      <c r="A616" s="22"/>
      <c r="B616" s="16"/>
      <c r="C616" s="23"/>
      <c r="D616" s="24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8.75" customHeight="1" x14ac:dyDescent="0.2">
      <c r="A617" s="22"/>
      <c r="B617" s="16"/>
      <c r="C617" s="23"/>
      <c r="D617" s="24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8.75" customHeight="1" x14ac:dyDescent="0.2">
      <c r="A618" s="22"/>
      <c r="B618" s="16"/>
      <c r="C618" s="23"/>
      <c r="D618" s="24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8.75" customHeight="1" x14ac:dyDescent="0.2">
      <c r="A619" s="22"/>
      <c r="B619" s="16"/>
      <c r="C619" s="23"/>
      <c r="D619" s="24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8.75" customHeight="1" x14ac:dyDescent="0.2">
      <c r="A620" s="22"/>
      <c r="B620" s="16"/>
      <c r="C620" s="23"/>
      <c r="D620" s="24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8.75" customHeight="1" x14ac:dyDescent="0.2">
      <c r="A621" s="22"/>
      <c r="B621" s="16"/>
      <c r="C621" s="23"/>
      <c r="D621" s="24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8.75" customHeight="1" x14ac:dyDescent="0.2">
      <c r="A622" s="22"/>
      <c r="B622" s="16"/>
      <c r="C622" s="23"/>
      <c r="D622" s="24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8.75" customHeight="1" x14ac:dyDescent="0.2">
      <c r="A623" s="22"/>
      <c r="B623" s="16"/>
      <c r="C623" s="23"/>
      <c r="D623" s="24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8.75" customHeight="1" x14ac:dyDescent="0.2">
      <c r="A624" s="22"/>
      <c r="B624" s="16"/>
      <c r="C624" s="23"/>
      <c r="D624" s="24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8.75" customHeight="1" x14ac:dyDescent="0.2">
      <c r="A625" s="22"/>
      <c r="B625" s="16"/>
      <c r="C625" s="23"/>
      <c r="D625" s="24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8.75" customHeight="1" x14ac:dyDescent="0.2">
      <c r="A626" s="22"/>
      <c r="B626" s="16"/>
      <c r="C626" s="23"/>
      <c r="D626" s="24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8.75" customHeight="1" x14ac:dyDescent="0.2">
      <c r="A627" s="22"/>
      <c r="B627" s="16"/>
      <c r="C627" s="23"/>
      <c r="D627" s="24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8.75" customHeight="1" x14ac:dyDescent="0.2">
      <c r="A628" s="22"/>
      <c r="B628" s="16"/>
      <c r="C628" s="23"/>
      <c r="D628" s="24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8.75" customHeight="1" x14ac:dyDescent="0.2">
      <c r="A629" s="22"/>
      <c r="B629" s="16"/>
      <c r="C629" s="23"/>
      <c r="D629" s="24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8.75" customHeight="1" x14ac:dyDescent="0.2">
      <c r="A630" s="22"/>
      <c r="B630" s="16"/>
      <c r="C630" s="23"/>
      <c r="D630" s="24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8.75" customHeight="1" x14ac:dyDescent="0.2">
      <c r="A631" s="22"/>
      <c r="B631" s="16"/>
      <c r="C631" s="23"/>
      <c r="D631" s="24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8.75" customHeight="1" x14ac:dyDescent="0.2">
      <c r="A632" s="22"/>
      <c r="B632" s="16"/>
      <c r="C632" s="23"/>
      <c r="D632" s="24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8.75" customHeight="1" x14ac:dyDescent="0.2">
      <c r="A633" s="22"/>
      <c r="B633" s="16"/>
      <c r="C633" s="23"/>
      <c r="D633" s="24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8.75" customHeight="1" x14ac:dyDescent="0.2">
      <c r="A634" s="22"/>
      <c r="B634" s="16"/>
      <c r="C634" s="23"/>
      <c r="D634" s="24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8.75" customHeight="1" x14ac:dyDescent="0.2">
      <c r="A635" s="22"/>
      <c r="B635" s="16"/>
      <c r="C635" s="23"/>
      <c r="D635" s="24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8.75" customHeight="1" x14ac:dyDescent="0.2">
      <c r="A636" s="22"/>
      <c r="B636" s="16"/>
      <c r="C636" s="23"/>
      <c r="D636" s="24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8.75" customHeight="1" x14ac:dyDescent="0.2">
      <c r="A637" s="22"/>
      <c r="B637" s="16"/>
      <c r="C637" s="23"/>
      <c r="D637" s="24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8.75" customHeight="1" x14ac:dyDescent="0.2">
      <c r="A638" s="22"/>
      <c r="B638" s="16"/>
      <c r="C638" s="23"/>
      <c r="D638" s="24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8.75" customHeight="1" x14ac:dyDescent="0.2">
      <c r="A639" s="22"/>
      <c r="B639" s="16"/>
      <c r="C639" s="23"/>
      <c r="D639" s="24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8.75" customHeight="1" x14ac:dyDescent="0.2">
      <c r="A640" s="22"/>
      <c r="B640" s="16"/>
      <c r="C640" s="23"/>
      <c r="D640" s="24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8.75" customHeight="1" x14ac:dyDescent="0.2">
      <c r="A641" s="22"/>
      <c r="B641" s="16"/>
      <c r="C641" s="23"/>
      <c r="D641" s="24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8.75" customHeight="1" x14ac:dyDescent="0.2">
      <c r="A642" s="22"/>
      <c r="B642" s="16"/>
      <c r="C642" s="23"/>
      <c r="D642" s="24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8.75" customHeight="1" x14ac:dyDescent="0.2">
      <c r="A643" s="22"/>
      <c r="B643" s="16"/>
      <c r="C643" s="23"/>
      <c r="D643" s="24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8.75" customHeight="1" x14ac:dyDescent="0.2">
      <c r="A644" s="22"/>
      <c r="B644" s="16"/>
      <c r="C644" s="23"/>
      <c r="D644" s="24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8.75" customHeight="1" x14ac:dyDescent="0.2">
      <c r="A645" s="22"/>
      <c r="B645" s="16"/>
      <c r="C645" s="23"/>
      <c r="D645" s="24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8.75" customHeight="1" x14ac:dyDescent="0.2">
      <c r="A646" s="22"/>
      <c r="B646" s="16"/>
      <c r="C646" s="23"/>
      <c r="D646" s="24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8.75" customHeight="1" x14ac:dyDescent="0.2">
      <c r="A647" s="22"/>
      <c r="B647" s="16"/>
      <c r="C647" s="23"/>
      <c r="D647" s="24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8.75" customHeight="1" x14ac:dyDescent="0.2">
      <c r="A648" s="22"/>
      <c r="B648" s="16"/>
      <c r="C648" s="23"/>
      <c r="D648" s="24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8.75" customHeight="1" x14ac:dyDescent="0.2">
      <c r="A649" s="22"/>
      <c r="B649" s="16"/>
      <c r="C649" s="23"/>
      <c r="D649" s="24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8.75" customHeight="1" x14ac:dyDescent="0.2">
      <c r="A650" s="22"/>
      <c r="B650" s="16"/>
      <c r="C650" s="23"/>
      <c r="D650" s="24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8.75" customHeight="1" x14ac:dyDescent="0.2">
      <c r="A651" s="22"/>
      <c r="B651" s="16"/>
      <c r="C651" s="23"/>
      <c r="D651" s="24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8.75" customHeight="1" x14ac:dyDescent="0.2">
      <c r="A652" s="22"/>
      <c r="B652" s="16"/>
      <c r="C652" s="23"/>
      <c r="D652" s="24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8.75" customHeight="1" x14ac:dyDescent="0.2">
      <c r="A653" s="22"/>
      <c r="B653" s="16"/>
      <c r="C653" s="23"/>
      <c r="D653" s="24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8.75" customHeight="1" x14ac:dyDescent="0.2">
      <c r="A654" s="22"/>
      <c r="B654" s="16"/>
      <c r="C654" s="23"/>
      <c r="D654" s="24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8.75" customHeight="1" x14ac:dyDescent="0.2">
      <c r="A655" s="22"/>
      <c r="B655" s="16"/>
      <c r="C655" s="23"/>
      <c r="D655" s="24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8.75" customHeight="1" x14ac:dyDescent="0.2">
      <c r="A656" s="22"/>
      <c r="B656" s="16"/>
      <c r="C656" s="23"/>
      <c r="D656" s="24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8.75" customHeight="1" x14ac:dyDescent="0.2">
      <c r="A657" s="22"/>
      <c r="B657" s="16"/>
      <c r="C657" s="23"/>
      <c r="D657" s="24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8.75" customHeight="1" x14ac:dyDescent="0.2">
      <c r="A658" s="22"/>
      <c r="B658" s="16"/>
      <c r="C658" s="23"/>
      <c r="D658" s="24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8.75" customHeight="1" x14ac:dyDescent="0.2">
      <c r="A659" s="22"/>
      <c r="B659" s="16"/>
      <c r="C659" s="23"/>
      <c r="D659" s="24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8.75" customHeight="1" x14ac:dyDescent="0.2">
      <c r="A660" s="22"/>
      <c r="B660" s="16"/>
      <c r="C660" s="23"/>
      <c r="D660" s="24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8.75" customHeight="1" x14ac:dyDescent="0.2">
      <c r="A661" s="22"/>
      <c r="B661" s="16"/>
      <c r="C661" s="23"/>
      <c r="D661" s="24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8.75" customHeight="1" x14ac:dyDescent="0.2">
      <c r="A662" s="22"/>
      <c r="B662" s="16"/>
      <c r="C662" s="23"/>
      <c r="D662" s="24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8.75" customHeight="1" x14ac:dyDescent="0.2">
      <c r="A663" s="22"/>
      <c r="B663" s="16"/>
      <c r="C663" s="23"/>
      <c r="D663" s="24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8.75" customHeight="1" x14ac:dyDescent="0.2">
      <c r="A664" s="22"/>
      <c r="B664" s="16"/>
      <c r="C664" s="23"/>
      <c r="D664" s="24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8.75" customHeight="1" x14ac:dyDescent="0.2">
      <c r="A665" s="22"/>
      <c r="B665" s="16"/>
      <c r="C665" s="23"/>
      <c r="D665" s="24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8.75" customHeight="1" x14ac:dyDescent="0.2">
      <c r="A666" s="22"/>
      <c r="B666" s="16"/>
      <c r="C666" s="23"/>
      <c r="D666" s="24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8.75" customHeight="1" x14ac:dyDescent="0.2">
      <c r="A667" s="22"/>
      <c r="B667" s="16"/>
      <c r="C667" s="23"/>
      <c r="D667" s="24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8.75" customHeight="1" x14ac:dyDescent="0.2">
      <c r="A668" s="22"/>
      <c r="B668" s="16"/>
      <c r="C668" s="23"/>
      <c r="D668" s="24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8.75" customHeight="1" x14ac:dyDescent="0.2">
      <c r="A669" s="22"/>
      <c r="B669" s="16"/>
      <c r="C669" s="23"/>
      <c r="D669" s="24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8.75" customHeight="1" x14ac:dyDescent="0.2">
      <c r="A670" s="22"/>
      <c r="B670" s="16"/>
      <c r="C670" s="23"/>
      <c r="D670" s="24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8.75" customHeight="1" x14ac:dyDescent="0.2">
      <c r="A671" s="22"/>
      <c r="B671" s="16"/>
      <c r="C671" s="23"/>
      <c r="D671" s="24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8.75" customHeight="1" x14ac:dyDescent="0.2">
      <c r="A672" s="22"/>
      <c r="B672" s="16"/>
      <c r="C672" s="23"/>
      <c r="D672" s="24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8.75" customHeight="1" x14ac:dyDescent="0.2">
      <c r="A673" s="22"/>
      <c r="B673" s="16"/>
      <c r="C673" s="23"/>
      <c r="D673" s="24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8.75" customHeight="1" x14ac:dyDescent="0.2">
      <c r="A674" s="22"/>
      <c r="B674" s="16"/>
      <c r="C674" s="23"/>
      <c r="D674" s="24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8.75" customHeight="1" x14ac:dyDescent="0.2">
      <c r="A675" s="22"/>
      <c r="B675" s="16"/>
      <c r="C675" s="23"/>
      <c r="D675" s="24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8.75" customHeight="1" x14ac:dyDescent="0.2">
      <c r="A676" s="22"/>
      <c r="B676" s="16"/>
      <c r="C676" s="23"/>
      <c r="D676" s="24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8.75" customHeight="1" x14ac:dyDescent="0.2">
      <c r="A677" s="22"/>
      <c r="B677" s="16"/>
      <c r="C677" s="23"/>
      <c r="D677" s="24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8.75" customHeight="1" x14ac:dyDescent="0.2">
      <c r="A678" s="22"/>
      <c r="B678" s="16"/>
      <c r="C678" s="23"/>
      <c r="D678" s="24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8.75" customHeight="1" x14ac:dyDescent="0.2">
      <c r="A679" s="22"/>
      <c r="B679" s="16"/>
      <c r="C679" s="23"/>
      <c r="D679" s="24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8.75" customHeight="1" x14ac:dyDescent="0.2">
      <c r="A680" s="22"/>
      <c r="B680" s="16"/>
      <c r="C680" s="23"/>
      <c r="D680" s="24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8.75" customHeight="1" x14ac:dyDescent="0.2">
      <c r="A681" s="22"/>
      <c r="B681" s="16"/>
      <c r="C681" s="23"/>
      <c r="D681" s="24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8.75" customHeight="1" x14ac:dyDescent="0.2">
      <c r="A682" s="22"/>
      <c r="B682" s="16"/>
      <c r="C682" s="23"/>
      <c r="D682" s="24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8.75" customHeight="1" x14ac:dyDescent="0.2">
      <c r="A683" s="22"/>
      <c r="B683" s="16"/>
      <c r="C683" s="23"/>
      <c r="D683" s="24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8.75" customHeight="1" x14ac:dyDescent="0.2">
      <c r="A684" s="22"/>
      <c r="B684" s="16"/>
      <c r="C684" s="23"/>
      <c r="D684" s="24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8.75" customHeight="1" x14ac:dyDescent="0.2">
      <c r="A685" s="22"/>
      <c r="B685" s="16"/>
      <c r="C685" s="23"/>
      <c r="D685" s="24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8.75" customHeight="1" x14ac:dyDescent="0.2">
      <c r="A686" s="22"/>
      <c r="B686" s="16"/>
      <c r="C686" s="23"/>
      <c r="D686" s="24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8.75" customHeight="1" x14ac:dyDescent="0.2">
      <c r="A687" s="22"/>
      <c r="B687" s="16"/>
      <c r="C687" s="23"/>
      <c r="D687" s="24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8.75" customHeight="1" x14ac:dyDescent="0.2">
      <c r="A688" s="22"/>
      <c r="B688" s="16"/>
      <c r="C688" s="23"/>
      <c r="D688" s="24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8.75" customHeight="1" x14ac:dyDescent="0.2">
      <c r="A689" s="22"/>
      <c r="B689" s="16"/>
      <c r="C689" s="23"/>
      <c r="D689" s="24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8.75" customHeight="1" x14ac:dyDescent="0.2">
      <c r="A690" s="22"/>
      <c r="B690" s="16"/>
      <c r="C690" s="23"/>
      <c r="D690" s="24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8.75" customHeight="1" x14ac:dyDescent="0.2">
      <c r="A691" s="22"/>
      <c r="B691" s="16"/>
      <c r="C691" s="23"/>
      <c r="D691" s="24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8.75" customHeight="1" x14ac:dyDescent="0.2">
      <c r="A692" s="22"/>
      <c r="B692" s="16"/>
      <c r="C692" s="23"/>
      <c r="D692" s="24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8.75" customHeight="1" x14ac:dyDescent="0.2">
      <c r="A693" s="22"/>
      <c r="B693" s="16"/>
      <c r="C693" s="23"/>
      <c r="D693" s="24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8.75" customHeight="1" x14ac:dyDescent="0.2">
      <c r="A694" s="22"/>
      <c r="B694" s="16"/>
      <c r="C694" s="23"/>
      <c r="D694" s="24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8.75" customHeight="1" x14ac:dyDescent="0.2">
      <c r="A695" s="22"/>
      <c r="B695" s="16"/>
      <c r="C695" s="23"/>
      <c r="D695" s="24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8.75" customHeight="1" x14ac:dyDescent="0.2">
      <c r="A696" s="22"/>
      <c r="B696" s="16"/>
      <c r="C696" s="23"/>
      <c r="D696" s="24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8.75" customHeight="1" x14ac:dyDescent="0.2">
      <c r="A697" s="22"/>
      <c r="B697" s="16"/>
      <c r="C697" s="23"/>
      <c r="D697" s="24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8.75" customHeight="1" x14ac:dyDescent="0.2">
      <c r="A698" s="22"/>
      <c r="B698" s="16"/>
      <c r="C698" s="23"/>
      <c r="D698" s="24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8.75" customHeight="1" x14ac:dyDescent="0.2">
      <c r="A699" s="22"/>
      <c r="B699" s="16"/>
      <c r="C699" s="23"/>
      <c r="D699" s="24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8.75" customHeight="1" x14ac:dyDescent="0.2">
      <c r="A700" s="22"/>
      <c r="B700" s="16"/>
      <c r="C700" s="23"/>
      <c r="D700" s="24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8.75" customHeight="1" x14ac:dyDescent="0.2">
      <c r="A701" s="22"/>
      <c r="B701" s="16"/>
      <c r="C701" s="23"/>
      <c r="D701" s="24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8.75" customHeight="1" x14ac:dyDescent="0.2">
      <c r="A702" s="22"/>
      <c r="B702" s="16"/>
      <c r="C702" s="23"/>
      <c r="D702" s="24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8.75" customHeight="1" x14ac:dyDescent="0.2">
      <c r="A703" s="22"/>
      <c r="B703" s="16"/>
      <c r="C703" s="23"/>
      <c r="D703" s="24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8.75" customHeight="1" x14ac:dyDescent="0.2">
      <c r="A704" s="22"/>
      <c r="B704" s="16"/>
      <c r="C704" s="23"/>
      <c r="D704" s="24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8.75" customHeight="1" x14ac:dyDescent="0.2">
      <c r="A705" s="22"/>
      <c r="B705" s="16"/>
      <c r="C705" s="23"/>
      <c r="D705" s="24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8.75" customHeight="1" x14ac:dyDescent="0.2">
      <c r="A706" s="22"/>
      <c r="B706" s="16"/>
      <c r="C706" s="23"/>
      <c r="D706" s="24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8.75" customHeight="1" x14ac:dyDescent="0.2">
      <c r="A707" s="22"/>
      <c r="B707" s="16"/>
      <c r="C707" s="23"/>
      <c r="D707" s="24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8.75" customHeight="1" x14ac:dyDescent="0.2">
      <c r="A708" s="22"/>
      <c r="B708" s="16"/>
      <c r="C708" s="23"/>
      <c r="D708" s="24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8.75" customHeight="1" x14ac:dyDescent="0.2">
      <c r="A709" s="22"/>
      <c r="B709" s="16"/>
      <c r="C709" s="23"/>
      <c r="D709" s="24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8.75" customHeight="1" x14ac:dyDescent="0.2">
      <c r="A710" s="22"/>
      <c r="B710" s="16"/>
      <c r="C710" s="23"/>
      <c r="D710" s="24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8.75" customHeight="1" x14ac:dyDescent="0.2">
      <c r="A711" s="22"/>
      <c r="B711" s="16"/>
      <c r="C711" s="23"/>
      <c r="D711" s="24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8.75" customHeight="1" x14ac:dyDescent="0.2">
      <c r="A712" s="22"/>
      <c r="B712" s="16"/>
      <c r="C712" s="23"/>
      <c r="D712" s="24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8.75" customHeight="1" x14ac:dyDescent="0.2">
      <c r="A713" s="22"/>
      <c r="B713" s="16"/>
      <c r="C713" s="23"/>
      <c r="D713" s="24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8.75" customHeight="1" x14ac:dyDescent="0.2">
      <c r="A714" s="22"/>
      <c r="B714" s="16"/>
      <c r="C714" s="23"/>
      <c r="D714" s="24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8.75" customHeight="1" x14ac:dyDescent="0.2">
      <c r="A715" s="22"/>
      <c r="B715" s="16"/>
      <c r="C715" s="23"/>
      <c r="D715" s="24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8.75" customHeight="1" x14ac:dyDescent="0.2">
      <c r="A716" s="22"/>
      <c r="B716" s="16"/>
      <c r="C716" s="23"/>
      <c r="D716" s="24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8.75" customHeight="1" x14ac:dyDescent="0.2">
      <c r="A717" s="22"/>
      <c r="B717" s="16"/>
      <c r="C717" s="23"/>
      <c r="D717" s="24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8.75" customHeight="1" x14ac:dyDescent="0.2">
      <c r="A718" s="22"/>
      <c r="B718" s="16"/>
      <c r="C718" s="23"/>
      <c r="D718" s="24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8.75" customHeight="1" x14ac:dyDescent="0.2">
      <c r="A719" s="22"/>
      <c r="B719" s="16"/>
      <c r="C719" s="23"/>
      <c r="D719" s="24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8.75" customHeight="1" x14ac:dyDescent="0.2">
      <c r="A720" s="22"/>
      <c r="B720" s="16"/>
      <c r="C720" s="23"/>
      <c r="D720" s="24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8.75" customHeight="1" x14ac:dyDescent="0.2">
      <c r="A721" s="22"/>
      <c r="B721" s="16"/>
      <c r="C721" s="23"/>
      <c r="D721" s="24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8.75" customHeight="1" x14ac:dyDescent="0.2">
      <c r="A722" s="22"/>
      <c r="B722" s="16"/>
      <c r="C722" s="23"/>
      <c r="D722" s="24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8.75" customHeight="1" x14ac:dyDescent="0.2">
      <c r="A723" s="22"/>
      <c r="B723" s="16"/>
      <c r="C723" s="23"/>
      <c r="D723" s="24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8.75" customHeight="1" x14ac:dyDescent="0.2">
      <c r="A724" s="22"/>
      <c r="B724" s="16"/>
      <c r="C724" s="23"/>
      <c r="D724" s="24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8.75" customHeight="1" x14ac:dyDescent="0.2">
      <c r="A725" s="22"/>
      <c r="B725" s="16"/>
      <c r="C725" s="23"/>
      <c r="D725" s="24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8.75" customHeight="1" x14ac:dyDescent="0.2">
      <c r="A726" s="22"/>
      <c r="B726" s="16"/>
      <c r="C726" s="23"/>
      <c r="D726" s="24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8.75" customHeight="1" x14ac:dyDescent="0.2">
      <c r="A727" s="22"/>
      <c r="B727" s="16"/>
      <c r="C727" s="23"/>
      <c r="D727" s="24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8.75" customHeight="1" x14ac:dyDescent="0.2">
      <c r="A728" s="22"/>
      <c r="B728" s="16"/>
      <c r="C728" s="23"/>
      <c r="D728" s="24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8.75" customHeight="1" x14ac:dyDescent="0.2">
      <c r="A729" s="22"/>
      <c r="B729" s="16"/>
      <c r="C729" s="23"/>
      <c r="D729" s="24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8.75" customHeight="1" x14ac:dyDescent="0.2">
      <c r="A730" s="22"/>
      <c r="B730" s="16"/>
      <c r="C730" s="23"/>
      <c r="D730" s="24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8.75" customHeight="1" x14ac:dyDescent="0.2">
      <c r="A731" s="22"/>
      <c r="B731" s="16"/>
      <c r="C731" s="23"/>
      <c r="D731" s="24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8.75" customHeight="1" x14ac:dyDescent="0.2">
      <c r="A732" s="22"/>
      <c r="B732" s="16"/>
      <c r="C732" s="23"/>
      <c r="D732" s="24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8.75" customHeight="1" x14ac:dyDescent="0.2">
      <c r="A733" s="22"/>
      <c r="B733" s="16"/>
      <c r="C733" s="23"/>
      <c r="D733" s="24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8.75" customHeight="1" x14ac:dyDescent="0.2">
      <c r="A734" s="22"/>
      <c r="B734" s="16"/>
      <c r="C734" s="23"/>
      <c r="D734" s="24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8.75" customHeight="1" x14ac:dyDescent="0.2">
      <c r="A735" s="22"/>
      <c r="B735" s="16"/>
      <c r="C735" s="23"/>
      <c r="D735" s="24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8.75" customHeight="1" x14ac:dyDescent="0.2">
      <c r="A736" s="22"/>
      <c r="B736" s="16"/>
      <c r="C736" s="23"/>
      <c r="D736" s="24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8.75" customHeight="1" x14ac:dyDescent="0.2">
      <c r="A737" s="22"/>
      <c r="B737" s="16"/>
      <c r="C737" s="23"/>
      <c r="D737" s="24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8.75" customHeight="1" x14ac:dyDescent="0.2">
      <c r="A738" s="22"/>
      <c r="B738" s="16"/>
      <c r="C738" s="23"/>
      <c r="D738" s="24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8.75" customHeight="1" x14ac:dyDescent="0.2">
      <c r="A739" s="22"/>
      <c r="B739" s="16"/>
      <c r="C739" s="23"/>
      <c r="D739" s="24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8.75" customHeight="1" x14ac:dyDescent="0.2">
      <c r="A740" s="22"/>
      <c r="B740" s="16"/>
      <c r="C740" s="23"/>
      <c r="D740" s="24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8.75" customHeight="1" x14ac:dyDescent="0.2">
      <c r="A741" s="22"/>
      <c r="B741" s="16"/>
      <c r="C741" s="23"/>
      <c r="D741" s="24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8.75" customHeight="1" x14ac:dyDescent="0.2">
      <c r="A742" s="22"/>
      <c r="B742" s="16"/>
      <c r="C742" s="23"/>
      <c r="D742" s="24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8.75" customHeight="1" x14ac:dyDescent="0.2">
      <c r="A743" s="22"/>
      <c r="B743" s="16"/>
      <c r="C743" s="23"/>
      <c r="D743" s="24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8.75" customHeight="1" x14ac:dyDescent="0.2">
      <c r="A744" s="22"/>
      <c r="B744" s="16"/>
      <c r="C744" s="23"/>
      <c r="D744" s="24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8.75" customHeight="1" x14ac:dyDescent="0.2">
      <c r="A745" s="22"/>
      <c r="B745" s="16"/>
      <c r="C745" s="23"/>
      <c r="D745" s="24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8.75" customHeight="1" x14ac:dyDescent="0.2">
      <c r="A746" s="22"/>
      <c r="B746" s="16"/>
      <c r="C746" s="23"/>
      <c r="D746" s="24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8.75" customHeight="1" x14ac:dyDescent="0.2">
      <c r="A747" s="22"/>
      <c r="B747" s="16"/>
      <c r="C747" s="23"/>
      <c r="D747" s="24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8.75" customHeight="1" x14ac:dyDescent="0.2">
      <c r="A748" s="22"/>
      <c r="B748" s="16"/>
      <c r="C748" s="23"/>
      <c r="D748" s="24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8.75" customHeight="1" x14ac:dyDescent="0.2">
      <c r="A749" s="22"/>
      <c r="B749" s="16"/>
      <c r="C749" s="23"/>
      <c r="D749" s="24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8.75" customHeight="1" x14ac:dyDescent="0.2">
      <c r="A750" s="22"/>
      <c r="B750" s="16"/>
      <c r="C750" s="23"/>
      <c r="D750" s="24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8.75" customHeight="1" x14ac:dyDescent="0.2">
      <c r="A751" s="22"/>
      <c r="B751" s="16"/>
      <c r="C751" s="23"/>
      <c r="D751" s="24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8.75" customHeight="1" x14ac:dyDescent="0.2">
      <c r="A752" s="22"/>
      <c r="B752" s="16"/>
      <c r="C752" s="23"/>
      <c r="D752" s="24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8.75" customHeight="1" x14ac:dyDescent="0.2">
      <c r="A753" s="22"/>
      <c r="B753" s="16"/>
      <c r="C753" s="23"/>
      <c r="D753" s="24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8.75" customHeight="1" x14ac:dyDescent="0.2">
      <c r="A754" s="22"/>
      <c r="B754" s="16"/>
      <c r="C754" s="23"/>
      <c r="D754" s="24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8.75" customHeight="1" x14ac:dyDescent="0.2">
      <c r="A755" s="22"/>
      <c r="B755" s="16"/>
      <c r="C755" s="23"/>
      <c r="D755" s="24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8.75" customHeight="1" x14ac:dyDescent="0.2">
      <c r="A756" s="22"/>
      <c r="B756" s="16"/>
      <c r="C756" s="23"/>
      <c r="D756" s="24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8.75" customHeight="1" x14ac:dyDescent="0.2">
      <c r="A757" s="22"/>
      <c r="B757" s="16"/>
      <c r="C757" s="23"/>
      <c r="D757" s="24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8.75" customHeight="1" x14ac:dyDescent="0.2">
      <c r="A758" s="22"/>
      <c r="B758" s="16"/>
      <c r="C758" s="23"/>
      <c r="D758" s="24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8.75" customHeight="1" x14ac:dyDescent="0.2">
      <c r="A759" s="22"/>
      <c r="B759" s="16"/>
      <c r="C759" s="23"/>
      <c r="D759" s="24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8.75" customHeight="1" x14ac:dyDescent="0.2">
      <c r="A760" s="22"/>
      <c r="B760" s="16"/>
      <c r="C760" s="23"/>
      <c r="D760" s="24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8.75" customHeight="1" x14ac:dyDescent="0.2">
      <c r="A761" s="22"/>
      <c r="B761" s="16"/>
      <c r="C761" s="23"/>
      <c r="D761" s="24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8.75" customHeight="1" x14ac:dyDescent="0.2">
      <c r="A762" s="22"/>
      <c r="B762" s="16"/>
      <c r="C762" s="23"/>
      <c r="D762" s="24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8.75" customHeight="1" x14ac:dyDescent="0.2">
      <c r="A763" s="22"/>
      <c r="B763" s="16"/>
      <c r="C763" s="23"/>
      <c r="D763" s="24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8.75" customHeight="1" x14ac:dyDescent="0.2">
      <c r="A764" s="22"/>
      <c r="B764" s="16"/>
      <c r="C764" s="23"/>
      <c r="D764" s="24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8.75" customHeight="1" x14ac:dyDescent="0.2">
      <c r="A765" s="22"/>
      <c r="B765" s="16"/>
      <c r="C765" s="23"/>
      <c r="D765" s="24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8.75" customHeight="1" x14ac:dyDescent="0.2">
      <c r="A766" s="22"/>
      <c r="B766" s="16"/>
      <c r="C766" s="23"/>
      <c r="D766" s="24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8.75" customHeight="1" x14ac:dyDescent="0.2">
      <c r="A767" s="22"/>
      <c r="B767" s="16"/>
      <c r="C767" s="23"/>
      <c r="D767" s="24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8.75" customHeight="1" x14ac:dyDescent="0.2">
      <c r="A768" s="22"/>
      <c r="B768" s="16"/>
      <c r="C768" s="23"/>
      <c r="D768" s="24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8.75" customHeight="1" x14ac:dyDescent="0.2">
      <c r="A769" s="22"/>
      <c r="B769" s="16"/>
      <c r="C769" s="23"/>
      <c r="D769" s="24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8.75" customHeight="1" x14ac:dyDescent="0.2">
      <c r="A770" s="22"/>
      <c r="B770" s="16"/>
      <c r="C770" s="23"/>
      <c r="D770" s="24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8.75" customHeight="1" x14ac:dyDescent="0.2">
      <c r="A771" s="22"/>
      <c r="B771" s="16"/>
      <c r="C771" s="23"/>
      <c r="D771" s="24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8.75" customHeight="1" x14ac:dyDescent="0.2">
      <c r="A772" s="22"/>
      <c r="B772" s="16"/>
      <c r="C772" s="23"/>
      <c r="D772" s="24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8.75" customHeight="1" x14ac:dyDescent="0.2">
      <c r="A773" s="22"/>
      <c r="B773" s="16"/>
      <c r="C773" s="23"/>
      <c r="D773" s="24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8.75" customHeight="1" x14ac:dyDescent="0.2">
      <c r="A774" s="22"/>
      <c r="B774" s="16"/>
      <c r="C774" s="23"/>
      <c r="D774" s="24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8.75" customHeight="1" x14ac:dyDescent="0.2">
      <c r="A775" s="22"/>
      <c r="B775" s="16"/>
      <c r="C775" s="23"/>
      <c r="D775" s="24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8.75" customHeight="1" x14ac:dyDescent="0.2">
      <c r="A776" s="22"/>
      <c r="B776" s="16"/>
      <c r="C776" s="23"/>
      <c r="D776" s="24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8.75" customHeight="1" x14ac:dyDescent="0.2">
      <c r="A777" s="22"/>
      <c r="B777" s="16"/>
      <c r="C777" s="23"/>
      <c r="D777" s="24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8.75" customHeight="1" x14ac:dyDescent="0.2">
      <c r="A778" s="22"/>
      <c r="B778" s="16"/>
      <c r="C778" s="23"/>
      <c r="D778" s="24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8.75" customHeight="1" x14ac:dyDescent="0.2">
      <c r="A779" s="22"/>
      <c r="B779" s="16"/>
      <c r="C779" s="23"/>
      <c r="D779" s="24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8.75" customHeight="1" x14ac:dyDescent="0.2">
      <c r="A780" s="22"/>
      <c r="B780" s="16"/>
      <c r="C780" s="23"/>
      <c r="D780" s="24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8.75" customHeight="1" x14ac:dyDescent="0.2">
      <c r="A781" s="22"/>
      <c r="B781" s="16"/>
      <c r="C781" s="23"/>
      <c r="D781" s="24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8.75" customHeight="1" x14ac:dyDescent="0.2">
      <c r="A782" s="22"/>
      <c r="B782" s="16"/>
      <c r="C782" s="23"/>
      <c r="D782" s="24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8.75" customHeight="1" x14ac:dyDescent="0.2">
      <c r="A783" s="22"/>
      <c r="B783" s="16"/>
      <c r="C783" s="23"/>
      <c r="D783" s="24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8.75" customHeight="1" x14ac:dyDescent="0.2">
      <c r="A784" s="22"/>
      <c r="B784" s="16"/>
      <c r="C784" s="23"/>
      <c r="D784" s="24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8.75" customHeight="1" x14ac:dyDescent="0.2">
      <c r="A785" s="22"/>
      <c r="B785" s="16"/>
      <c r="C785" s="23"/>
      <c r="D785" s="24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8.75" customHeight="1" x14ac:dyDescent="0.2">
      <c r="A786" s="22"/>
      <c r="B786" s="16"/>
      <c r="C786" s="23"/>
      <c r="D786" s="24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8.75" customHeight="1" x14ac:dyDescent="0.2">
      <c r="A787" s="22"/>
      <c r="B787" s="16"/>
      <c r="C787" s="23"/>
      <c r="D787" s="24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8.75" customHeight="1" x14ac:dyDescent="0.2">
      <c r="A788" s="22"/>
      <c r="B788" s="16"/>
      <c r="C788" s="23"/>
      <c r="D788" s="24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8.75" customHeight="1" x14ac:dyDescent="0.2">
      <c r="A789" s="22"/>
      <c r="B789" s="16"/>
      <c r="C789" s="23"/>
      <c r="D789" s="24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8.75" customHeight="1" x14ac:dyDescent="0.2">
      <c r="A790" s="22"/>
      <c r="B790" s="16"/>
      <c r="C790" s="23"/>
      <c r="D790" s="24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8.75" customHeight="1" x14ac:dyDescent="0.2">
      <c r="A791" s="22"/>
      <c r="B791" s="16"/>
      <c r="C791" s="23"/>
      <c r="D791" s="24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8.75" customHeight="1" x14ac:dyDescent="0.2">
      <c r="A792" s="22"/>
      <c r="B792" s="16"/>
      <c r="C792" s="23"/>
      <c r="D792" s="24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8.75" customHeight="1" x14ac:dyDescent="0.2">
      <c r="A793" s="22"/>
      <c r="B793" s="16"/>
      <c r="C793" s="23"/>
      <c r="D793" s="24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8.75" customHeight="1" x14ac:dyDescent="0.2">
      <c r="A794" s="22"/>
      <c r="B794" s="16"/>
      <c r="C794" s="23"/>
      <c r="D794" s="24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8.75" customHeight="1" x14ac:dyDescent="0.2">
      <c r="A795" s="22"/>
      <c r="B795" s="16"/>
      <c r="C795" s="23"/>
      <c r="D795" s="24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8.75" customHeight="1" x14ac:dyDescent="0.2">
      <c r="A796" s="22"/>
      <c r="B796" s="16"/>
      <c r="C796" s="23"/>
      <c r="D796" s="24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8.75" customHeight="1" x14ac:dyDescent="0.2">
      <c r="A797" s="22"/>
      <c r="B797" s="16"/>
      <c r="C797" s="23"/>
      <c r="D797" s="24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8.75" customHeight="1" x14ac:dyDescent="0.2">
      <c r="A798" s="22"/>
      <c r="B798" s="16"/>
      <c r="C798" s="23"/>
      <c r="D798" s="24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8.75" customHeight="1" x14ac:dyDescent="0.2">
      <c r="A799" s="22"/>
      <c r="B799" s="16"/>
      <c r="C799" s="23"/>
      <c r="D799" s="24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8.75" customHeight="1" x14ac:dyDescent="0.2">
      <c r="A800" s="22"/>
      <c r="B800" s="16"/>
      <c r="C800" s="23"/>
      <c r="D800" s="24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8.75" customHeight="1" x14ac:dyDescent="0.2">
      <c r="A801" s="22"/>
      <c r="B801" s="16"/>
      <c r="C801" s="23"/>
      <c r="D801" s="24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8.75" customHeight="1" x14ac:dyDescent="0.2">
      <c r="A802" s="22"/>
      <c r="B802" s="16"/>
      <c r="C802" s="23"/>
      <c r="D802" s="24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8.75" customHeight="1" x14ac:dyDescent="0.2">
      <c r="A803" s="22"/>
      <c r="B803" s="16"/>
      <c r="C803" s="23"/>
      <c r="D803" s="24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8.75" customHeight="1" x14ac:dyDescent="0.2">
      <c r="A804" s="22"/>
      <c r="B804" s="16"/>
      <c r="C804" s="23"/>
      <c r="D804" s="24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8.75" customHeight="1" x14ac:dyDescent="0.2">
      <c r="A805" s="22"/>
      <c r="B805" s="16"/>
      <c r="C805" s="23"/>
      <c r="D805" s="24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8.75" customHeight="1" x14ac:dyDescent="0.2">
      <c r="A806" s="22"/>
      <c r="B806" s="16"/>
      <c r="C806" s="23"/>
      <c r="D806" s="24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8.75" customHeight="1" x14ac:dyDescent="0.2">
      <c r="A807" s="22"/>
      <c r="B807" s="16"/>
      <c r="C807" s="23"/>
      <c r="D807" s="24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8.75" customHeight="1" x14ac:dyDescent="0.2">
      <c r="A808" s="22"/>
      <c r="B808" s="16"/>
      <c r="C808" s="23"/>
      <c r="D808" s="24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8.75" customHeight="1" x14ac:dyDescent="0.2">
      <c r="A809" s="22"/>
      <c r="B809" s="16"/>
      <c r="C809" s="23"/>
      <c r="D809" s="24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8.75" customHeight="1" x14ac:dyDescent="0.2">
      <c r="A810" s="22"/>
      <c r="B810" s="16"/>
      <c r="C810" s="23"/>
      <c r="D810" s="24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8.75" customHeight="1" x14ac:dyDescent="0.2">
      <c r="A811" s="22"/>
      <c r="B811" s="16"/>
      <c r="C811" s="23"/>
      <c r="D811" s="24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8.75" customHeight="1" x14ac:dyDescent="0.2">
      <c r="A812" s="22"/>
      <c r="B812" s="16"/>
      <c r="C812" s="23"/>
      <c r="D812" s="24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8.75" customHeight="1" x14ac:dyDescent="0.2">
      <c r="A813" s="22"/>
      <c r="B813" s="16"/>
      <c r="C813" s="23"/>
      <c r="D813" s="24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8.75" customHeight="1" x14ac:dyDescent="0.2">
      <c r="A814" s="22"/>
      <c r="B814" s="16"/>
      <c r="C814" s="23"/>
      <c r="D814" s="24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8.75" customHeight="1" x14ac:dyDescent="0.2">
      <c r="A815" s="22"/>
      <c r="B815" s="16"/>
      <c r="C815" s="23"/>
      <c r="D815" s="24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8.75" customHeight="1" x14ac:dyDescent="0.2">
      <c r="A816" s="22"/>
      <c r="B816" s="16"/>
      <c r="C816" s="23"/>
      <c r="D816" s="24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8.75" customHeight="1" x14ac:dyDescent="0.2">
      <c r="A817" s="22"/>
      <c r="B817" s="16"/>
      <c r="C817" s="23"/>
      <c r="D817" s="24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8.75" customHeight="1" x14ac:dyDescent="0.2">
      <c r="A818" s="22"/>
      <c r="B818" s="16"/>
      <c r="C818" s="23"/>
      <c r="D818" s="24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8.75" customHeight="1" x14ac:dyDescent="0.2">
      <c r="A819" s="22"/>
      <c r="B819" s="16"/>
      <c r="C819" s="23"/>
      <c r="D819" s="24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8.75" customHeight="1" x14ac:dyDescent="0.2">
      <c r="A820" s="22"/>
      <c r="B820" s="16"/>
      <c r="C820" s="23"/>
      <c r="D820" s="24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8.75" customHeight="1" x14ac:dyDescent="0.2">
      <c r="A821" s="22"/>
      <c r="B821" s="16"/>
      <c r="C821" s="23"/>
      <c r="D821" s="24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8.75" customHeight="1" x14ac:dyDescent="0.2">
      <c r="A822" s="22"/>
      <c r="B822" s="16"/>
      <c r="C822" s="23"/>
      <c r="D822" s="24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8.75" customHeight="1" x14ac:dyDescent="0.2">
      <c r="A823" s="22"/>
      <c r="B823" s="16"/>
      <c r="C823" s="23"/>
      <c r="D823" s="24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8.75" customHeight="1" x14ac:dyDescent="0.2">
      <c r="A824" s="22"/>
      <c r="B824" s="16"/>
      <c r="C824" s="23"/>
      <c r="D824" s="24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8.75" customHeight="1" x14ac:dyDescent="0.2">
      <c r="A825" s="22"/>
      <c r="B825" s="16"/>
      <c r="C825" s="23"/>
      <c r="D825" s="24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8.75" customHeight="1" x14ac:dyDescent="0.2">
      <c r="A826" s="22"/>
      <c r="B826" s="16"/>
      <c r="C826" s="23"/>
      <c r="D826" s="24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8.75" customHeight="1" x14ac:dyDescent="0.2">
      <c r="A827" s="22"/>
      <c r="B827" s="16"/>
      <c r="C827" s="23"/>
      <c r="D827" s="24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8.75" customHeight="1" x14ac:dyDescent="0.2">
      <c r="A828" s="22"/>
      <c r="B828" s="16"/>
      <c r="C828" s="23"/>
      <c r="D828" s="24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8.75" customHeight="1" x14ac:dyDescent="0.2">
      <c r="A829" s="22"/>
      <c r="B829" s="16"/>
      <c r="C829" s="23"/>
      <c r="D829" s="24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8.75" customHeight="1" x14ac:dyDescent="0.2">
      <c r="A830" s="22"/>
      <c r="B830" s="16"/>
      <c r="C830" s="23"/>
      <c r="D830" s="24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8.75" customHeight="1" x14ac:dyDescent="0.2">
      <c r="A831" s="22"/>
      <c r="B831" s="16"/>
      <c r="C831" s="23"/>
      <c r="D831" s="24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8.75" customHeight="1" x14ac:dyDescent="0.2">
      <c r="A832" s="22"/>
      <c r="B832" s="16"/>
      <c r="C832" s="23"/>
      <c r="D832" s="24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8.75" customHeight="1" x14ac:dyDescent="0.2">
      <c r="A833" s="22"/>
      <c r="B833" s="16"/>
      <c r="C833" s="23"/>
      <c r="D833" s="24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8.75" customHeight="1" x14ac:dyDescent="0.2">
      <c r="A834" s="22"/>
      <c r="B834" s="16"/>
      <c r="C834" s="23"/>
      <c r="D834" s="24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8.75" customHeight="1" x14ac:dyDescent="0.2">
      <c r="A835" s="22"/>
      <c r="B835" s="16"/>
      <c r="C835" s="23"/>
      <c r="D835" s="24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8.75" customHeight="1" x14ac:dyDescent="0.2">
      <c r="A836" s="22"/>
      <c r="B836" s="16"/>
      <c r="C836" s="23"/>
      <c r="D836" s="24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8.75" customHeight="1" x14ac:dyDescent="0.2">
      <c r="A837" s="22"/>
      <c r="B837" s="16"/>
      <c r="C837" s="23"/>
      <c r="D837" s="24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8.75" customHeight="1" x14ac:dyDescent="0.2">
      <c r="A838" s="22"/>
      <c r="B838" s="16"/>
      <c r="C838" s="23"/>
      <c r="D838" s="24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8.75" customHeight="1" x14ac:dyDescent="0.2">
      <c r="A839" s="22"/>
      <c r="B839" s="16"/>
      <c r="C839" s="23"/>
      <c r="D839" s="24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8.75" customHeight="1" x14ac:dyDescent="0.2">
      <c r="A840" s="22"/>
      <c r="B840" s="16"/>
      <c r="C840" s="23"/>
      <c r="D840" s="24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8.75" customHeight="1" x14ac:dyDescent="0.2">
      <c r="A841" s="22"/>
      <c r="B841" s="16"/>
      <c r="C841" s="23"/>
      <c r="D841" s="24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8.75" customHeight="1" x14ac:dyDescent="0.2">
      <c r="A842" s="22"/>
      <c r="B842" s="16"/>
      <c r="C842" s="23"/>
      <c r="D842" s="24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8.75" customHeight="1" x14ac:dyDescent="0.2">
      <c r="A843" s="22"/>
      <c r="B843" s="16"/>
      <c r="C843" s="23"/>
      <c r="D843" s="24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8.75" customHeight="1" x14ac:dyDescent="0.2">
      <c r="A844" s="22"/>
      <c r="B844" s="16"/>
      <c r="C844" s="23"/>
      <c r="D844" s="24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8.75" customHeight="1" x14ac:dyDescent="0.2">
      <c r="A845" s="22"/>
      <c r="B845" s="16"/>
      <c r="C845" s="23"/>
      <c r="D845" s="24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8.75" customHeight="1" x14ac:dyDescent="0.2">
      <c r="A846" s="22"/>
      <c r="B846" s="16"/>
      <c r="C846" s="23"/>
      <c r="D846" s="24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8.75" customHeight="1" x14ac:dyDescent="0.2">
      <c r="A847" s="22"/>
      <c r="B847" s="16"/>
      <c r="C847" s="23"/>
      <c r="D847" s="24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8.75" customHeight="1" x14ac:dyDescent="0.2">
      <c r="A848" s="22"/>
      <c r="B848" s="16"/>
      <c r="C848" s="23"/>
      <c r="D848" s="24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8.75" customHeight="1" x14ac:dyDescent="0.2">
      <c r="A849" s="22"/>
      <c r="B849" s="16"/>
      <c r="C849" s="23"/>
      <c r="D849" s="24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8.75" customHeight="1" x14ac:dyDescent="0.2">
      <c r="A850" s="22"/>
      <c r="B850" s="16"/>
      <c r="C850" s="23"/>
      <c r="D850" s="24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8.75" customHeight="1" x14ac:dyDescent="0.2">
      <c r="A851" s="22"/>
      <c r="B851" s="16"/>
      <c r="C851" s="23"/>
      <c r="D851" s="24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8.75" customHeight="1" x14ac:dyDescent="0.2">
      <c r="A852" s="22"/>
      <c r="B852" s="16"/>
      <c r="C852" s="23"/>
      <c r="D852" s="24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8.75" customHeight="1" x14ac:dyDescent="0.2">
      <c r="A853" s="22"/>
      <c r="B853" s="16"/>
      <c r="C853" s="23"/>
      <c r="D853" s="24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8.75" customHeight="1" x14ac:dyDescent="0.2">
      <c r="A854" s="22"/>
      <c r="B854" s="16"/>
      <c r="C854" s="23"/>
      <c r="D854" s="24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8.75" customHeight="1" x14ac:dyDescent="0.2">
      <c r="A855" s="22"/>
      <c r="B855" s="16"/>
      <c r="C855" s="23"/>
      <c r="D855" s="24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8.75" customHeight="1" x14ac:dyDescent="0.2">
      <c r="A856" s="22"/>
      <c r="B856" s="16"/>
      <c r="C856" s="23"/>
      <c r="D856" s="24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8.75" customHeight="1" x14ac:dyDescent="0.2">
      <c r="A857" s="22"/>
      <c r="B857" s="16"/>
      <c r="C857" s="23"/>
      <c r="D857" s="24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8.75" customHeight="1" x14ac:dyDescent="0.2">
      <c r="A858" s="22"/>
      <c r="B858" s="16"/>
      <c r="C858" s="23"/>
      <c r="D858" s="24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8.75" customHeight="1" x14ac:dyDescent="0.2">
      <c r="A859" s="22"/>
      <c r="B859" s="16"/>
      <c r="C859" s="23"/>
      <c r="D859" s="24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8.75" customHeight="1" x14ac:dyDescent="0.2">
      <c r="A860" s="22"/>
      <c r="B860" s="16"/>
      <c r="C860" s="23"/>
      <c r="D860" s="24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8.75" customHeight="1" x14ac:dyDescent="0.2">
      <c r="A861" s="22"/>
      <c r="B861" s="16"/>
      <c r="C861" s="23"/>
      <c r="D861" s="24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8.75" customHeight="1" x14ac:dyDescent="0.2">
      <c r="A862" s="22"/>
      <c r="B862" s="16"/>
      <c r="C862" s="23"/>
      <c r="D862" s="24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8.75" customHeight="1" x14ac:dyDescent="0.2">
      <c r="A863" s="22"/>
      <c r="B863" s="16"/>
      <c r="C863" s="23"/>
      <c r="D863" s="24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8.75" customHeight="1" x14ac:dyDescent="0.2">
      <c r="A864" s="22"/>
      <c r="B864" s="16"/>
      <c r="C864" s="23"/>
      <c r="D864" s="24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8.75" customHeight="1" x14ac:dyDescent="0.2">
      <c r="A865" s="22"/>
      <c r="B865" s="16"/>
      <c r="C865" s="23"/>
      <c r="D865" s="24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8.75" customHeight="1" x14ac:dyDescent="0.2">
      <c r="A866" s="22"/>
      <c r="B866" s="16"/>
      <c r="C866" s="23"/>
      <c r="D866" s="24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8.75" customHeight="1" x14ac:dyDescent="0.2">
      <c r="A867" s="22"/>
      <c r="B867" s="16"/>
      <c r="C867" s="23"/>
      <c r="D867" s="24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8.75" customHeight="1" x14ac:dyDescent="0.2">
      <c r="A868" s="22"/>
      <c r="B868" s="16"/>
      <c r="C868" s="23"/>
      <c r="D868" s="24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8.75" customHeight="1" x14ac:dyDescent="0.2">
      <c r="A869" s="22"/>
      <c r="B869" s="16"/>
      <c r="C869" s="23"/>
      <c r="D869" s="24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8.75" customHeight="1" x14ac:dyDescent="0.2">
      <c r="A870" s="22"/>
      <c r="B870" s="16"/>
      <c r="C870" s="23"/>
      <c r="D870" s="24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8.75" customHeight="1" x14ac:dyDescent="0.2">
      <c r="A871" s="22"/>
      <c r="B871" s="16"/>
      <c r="C871" s="23"/>
      <c r="D871" s="24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8.75" customHeight="1" x14ac:dyDescent="0.2">
      <c r="A872" s="22"/>
      <c r="B872" s="16"/>
      <c r="C872" s="23"/>
      <c r="D872" s="24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8.75" customHeight="1" x14ac:dyDescent="0.2">
      <c r="A873" s="22"/>
      <c r="B873" s="16"/>
      <c r="C873" s="23"/>
      <c r="D873" s="24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8.75" customHeight="1" x14ac:dyDescent="0.2">
      <c r="A874" s="22"/>
      <c r="B874" s="16"/>
      <c r="C874" s="23"/>
      <c r="D874" s="24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8.75" customHeight="1" x14ac:dyDescent="0.2">
      <c r="A875" s="22"/>
      <c r="B875" s="16"/>
      <c r="C875" s="23"/>
      <c r="D875" s="24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8.75" customHeight="1" x14ac:dyDescent="0.2">
      <c r="A876" s="22"/>
      <c r="B876" s="16"/>
      <c r="C876" s="23"/>
      <c r="D876" s="24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8.75" customHeight="1" x14ac:dyDescent="0.2">
      <c r="A877" s="22"/>
      <c r="B877" s="16"/>
      <c r="C877" s="23"/>
      <c r="D877" s="24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8.75" customHeight="1" x14ac:dyDescent="0.2">
      <c r="A878" s="22"/>
      <c r="B878" s="16"/>
      <c r="C878" s="23"/>
      <c r="D878" s="24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8.75" customHeight="1" x14ac:dyDescent="0.2">
      <c r="A879" s="22"/>
      <c r="B879" s="16"/>
      <c r="C879" s="23"/>
      <c r="D879" s="24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8.75" customHeight="1" x14ac:dyDescent="0.2">
      <c r="A880" s="22"/>
      <c r="B880" s="16"/>
      <c r="C880" s="23"/>
      <c r="D880" s="24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8.75" customHeight="1" x14ac:dyDescent="0.2">
      <c r="A881" s="22"/>
      <c r="B881" s="16"/>
      <c r="C881" s="23"/>
      <c r="D881" s="24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8.75" customHeight="1" x14ac:dyDescent="0.2">
      <c r="A882" s="22"/>
      <c r="B882" s="16"/>
      <c r="C882" s="23"/>
      <c r="D882" s="24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8.75" customHeight="1" x14ac:dyDescent="0.2">
      <c r="A883" s="22"/>
      <c r="B883" s="16"/>
      <c r="C883" s="23"/>
      <c r="D883" s="24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8.75" customHeight="1" x14ac:dyDescent="0.2">
      <c r="A884" s="22"/>
      <c r="B884" s="16"/>
      <c r="C884" s="23"/>
      <c r="D884" s="24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8.75" customHeight="1" x14ac:dyDescent="0.2">
      <c r="A885" s="22"/>
      <c r="B885" s="16"/>
      <c r="C885" s="23"/>
      <c r="D885" s="24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8.75" customHeight="1" x14ac:dyDescent="0.2">
      <c r="A886" s="22"/>
      <c r="B886" s="16"/>
      <c r="C886" s="23"/>
      <c r="D886" s="24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8.75" customHeight="1" x14ac:dyDescent="0.2">
      <c r="A887" s="22"/>
      <c r="B887" s="16"/>
      <c r="C887" s="23"/>
      <c r="D887" s="24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8.75" customHeight="1" x14ac:dyDescent="0.2">
      <c r="A888" s="22"/>
      <c r="B888" s="16"/>
      <c r="C888" s="23"/>
      <c r="D888" s="24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8.75" customHeight="1" x14ac:dyDescent="0.2">
      <c r="A889" s="22"/>
      <c r="B889" s="16"/>
      <c r="C889" s="23"/>
      <c r="D889" s="24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8.75" customHeight="1" x14ac:dyDescent="0.2">
      <c r="A890" s="22"/>
      <c r="B890" s="16"/>
      <c r="C890" s="23"/>
      <c r="D890" s="24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8.75" customHeight="1" x14ac:dyDescent="0.2">
      <c r="A891" s="22"/>
      <c r="B891" s="16"/>
      <c r="C891" s="23"/>
      <c r="D891" s="24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8.75" customHeight="1" x14ac:dyDescent="0.2">
      <c r="A892" s="22"/>
      <c r="B892" s="16"/>
      <c r="C892" s="23"/>
      <c r="D892" s="24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8.75" customHeight="1" x14ac:dyDescent="0.2">
      <c r="A893" s="22"/>
      <c r="B893" s="16"/>
      <c r="C893" s="23"/>
      <c r="D893" s="24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8.75" customHeight="1" x14ac:dyDescent="0.2">
      <c r="A894" s="22"/>
      <c r="B894" s="16"/>
      <c r="C894" s="23"/>
      <c r="D894" s="24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8.75" customHeight="1" x14ac:dyDescent="0.2">
      <c r="A895" s="22"/>
      <c r="B895" s="16"/>
      <c r="C895" s="23"/>
      <c r="D895" s="24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8.75" customHeight="1" x14ac:dyDescent="0.2">
      <c r="A896" s="22"/>
      <c r="B896" s="16"/>
      <c r="C896" s="23"/>
      <c r="D896" s="24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8.75" customHeight="1" x14ac:dyDescent="0.2">
      <c r="A897" s="22"/>
      <c r="B897" s="16"/>
      <c r="C897" s="23"/>
      <c r="D897" s="24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8.75" customHeight="1" x14ac:dyDescent="0.2">
      <c r="A898" s="22"/>
      <c r="B898" s="16"/>
      <c r="C898" s="23"/>
      <c r="D898" s="24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8.75" customHeight="1" x14ac:dyDescent="0.2">
      <c r="A899" s="22"/>
      <c r="B899" s="16"/>
      <c r="C899" s="23"/>
      <c r="D899" s="24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8.75" customHeight="1" x14ac:dyDescent="0.2">
      <c r="A900" s="22"/>
      <c r="B900" s="16"/>
      <c r="C900" s="23"/>
      <c r="D900" s="24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8.75" customHeight="1" x14ac:dyDescent="0.2">
      <c r="A901" s="22"/>
      <c r="B901" s="16"/>
      <c r="C901" s="23"/>
      <c r="D901" s="24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8.75" customHeight="1" x14ac:dyDescent="0.2">
      <c r="A902" s="22"/>
      <c r="B902" s="16"/>
      <c r="C902" s="23"/>
      <c r="D902" s="24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8.75" customHeight="1" x14ac:dyDescent="0.2">
      <c r="A903" s="22"/>
      <c r="B903" s="16"/>
      <c r="C903" s="23"/>
      <c r="D903" s="24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8.75" customHeight="1" x14ac:dyDescent="0.2">
      <c r="A904" s="22"/>
      <c r="B904" s="16"/>
      <c r="C904" s="23"/>
      <c r="D904" s="24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8.75" customHeight="1" x14ac:dyDescent="0.2">
      <c r="A905" s="22"/>
      <c r="B905" s="16"/>
      <c r="C905" s="23"/>
      <c r="D905" s="24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8.75" customHeight="1" x14ac:dyDescent="0.2">
      <c r="A906" s="22"/>
      <c r="B906" s="16"/>
      <c r="C906" s="23"/>
      <c r="D906" s="24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8.75" customHeight="1" x14ac:dyDescent="0.2">
      <c r="A907" s="22"/>
      <c r="B907" s="16"/>
      <c r="C907" s="23"/>
      <c r="D907" s="24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8.75" customHeight="1" x14ac:dyDescent="0.2">
      <c r="A908" s="22"/>
      <c r="B908" s="16"/>
      <c r="C908" s="23"/>
      <c r="D908" s="24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8.75" customHeight="1" x14ac:dyDescent="0.2">
      <c r="A909" s="22"/>
      <c r="B909" s="16"/>
      <c r="C909" s="23"/>
      <c r="D909" s="24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8.75" customHeight="1" x14ac:dyDescent="0.2">
      <c r="A910" s="22"/>
      <c r="B910" s="16"/>
      <c r="C910" s="23"/>
      <c r="D910" s="24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8.75" customHeight="1" x14ac:dyDescent="0.2">
      <c r="A911" s="22"/>
      <c r="B911" s="16"/>
      <c r="C911" s="23"/>
      <c r="D911" s="24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8.75" customHeight="1" x14ac:dyDescent="0.2">
      <c r="A912" s="22"/>
      <c r="B912" s="16"/>
      <c r="C912" s="23"/>
      <c r="D912" s="24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8.75" customHeight="1" x14ac:dyDescent="0.2">
      <c r="A913" s="22"/>
      <c r="B913" s="16"/>
      <c r="C913" s="23"/>
      <c r="D913" s="24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8.75" customHeight="1" x14ac:dyDescent="0.2">
      <c r="A914" s="22"/>
      <c r="B914" s="16"/>
      <c r="C914" s="23"/>
      <c r="D914" s="24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8.75" customHeight="1" x14ac:dyDescent="0.2">
      <c r="A915" s="22"/>
      <c r="B915" s="16"/>
      <c r="C915" s="23"/>
      <c r="D915" s="24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8.75" customHeight="1" x14ac:dyDescent="0.2">
      <c r="A916" s="22"/>
      <c r="B916" s="16"/>
      <c r="C916" s="23"/>
      <c r="D916" s="24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8.75" customHeight="1" x14ac:dyDescent="0.2">
      <c r="A917" s="22"/>
      <c r="B917" s="16"/>
      <c r="C917" s="23"/>
      <c r="D917" s="24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8.75" customHeight="1" x14ac:dyDescent="0.2">
      <c r="A918" s="22"/>
      <c r="B918" s="16"/>
      <c r="C918" s="23"/>
      <c r="D918" s="24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8.75" customHeight="1" x14ac:dyDescent="0.2">
      <c r="A919" s="22"/>
      <c r="B919" s="16"/>
      <c r="C919" s="23"/>
      <c r="D919" s="24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8.75" customHeight="1" x14ac:dyDescent="0.2">
      <c r="A920" s="22"/>
      <c r="B920" s="16"/>
      <c r="C920" s="23"/>
      <c r="D920" s="24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8.75" customHeight="1" x14ac:dyDescent="0.2">
      <c r="A921" s="22"/>
      <c r="B921" s="16"/>
      <c r="C921" s="23"/>
      <c r="D921" s="24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8.75" customHeight="1" x14ac:dyDescent="0.2">
      <c r="A922" s="22"/>
      <c r="B922" s="16"/>
      <c r="C922" s="23"/>
      <c r="D922" s="24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8.75" customHeight="1" x14ac:dyDescent="0.2">
      <c r="A923" s="22"/>
      <c r="B923" s="16"/>
      <c r="C923" s="23"/>
      <c r="D923" s="24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8.75" customHeight="1" x14ac:dyDescent="0.2">
      <c r="A924" s="22"/>
      <c r="B924" s="16"/>
      <c r="C924" s="23"/>
      <c r="D924" s="24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8.75" customHeight="1" x14ac:dyDescent="0.2">
      <c r="A925" s="22"/>
      <c r="B925" s="16"/>
      <c r="C925" s="23"/>
      <c r="D925" s="24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8.75" customHeight="1" x14ac:dyDescent="0.2">
      <c r="A926" s="22"/>
      <c r="B926" s="16"/>
      <c r="C926" s="23"/>
      <c r="D926" s="24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8.75" customHeight="1" x14ac:dyDescent="0.2">
      <c r="A927" s="22"/>
      <c r="B927" s="16"/>
      <c r="C927" s="23"/>
      <c r="D927" s="24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8.75" customHeight="1" x14ac:dyDescent="0.2">
      <c r="A928" s="22"/>
      <c r="B928" s="16"/>
      <c r="C928" s="23"/>
      <c r="D928" s="24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8.75" customHeight="1" x14ac:dyDescent="0.2">
      <c r="A929" s="22"/>
      <c r="B929" s="16"/>
      <c r="C929" s="23"/>
      <c r="D929" s="24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8.75" customHeight="1" x14ac:dyDescent="0.2">
      <c r="A930" s="22"/>
      <c r="B930" s="16"/>
      <c r="C930" s="23"/>
      <c r="D930" s="24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8.75" customHeight="1" x14ac:dyDescent="0.2">
      <c r="A931" s="22"/>
      <c r="B931" s="16"/>
      <c r="C931" s="23"/>
      <c r="D931" s="24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8.75" customHeight="1" x14ac:dyDescent="0.2">
      <c r="A932" s="22"/>
      <c r="B932" s="16"/>
      <c r="C932" s="23"/>
      <c r="D932" s="24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8.75" customHeight="1" x14ac:dyDescent="0.2">
      <c r="A933" s="22"/>
      <c r="B933" s="16"/>
      <c r="C933" s="23"/>
      <c r="D933" s="24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8.75" customHeight="1" x14ac:dyDescent="0.2">
      <c r="A934" s="22"/>
      <c r="B934" s="16"/>
      <c r="C934" s="23"/>
      <c r="D934" s="24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8.75" customHeight="1" x14ac:dyDescent="0.2">
      <c r="A935" s="22"/>
      <c r="B935" s="16"/>
      <c r="C935" s="23"/>
      <c r="D935" s="24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8.75" customHeight="1" x14ac:dyDescent="0.2">
      <c r="A936" s="22"/>
      <c r="B936" s="16"/>
      <c r="C936" s="23"/>
      <c r="D936" s="24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8.75" customHeight="1" x14ac:dyDescent="0.2">
      <c r="A937" s="22"/>
      <c r="B937" s="16"/>
      <c r="C937" s="23"/>
      <c r="D937" s="24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8.75" customHeight="1" x14ac:dyDescent="0.2">
      <c r="A938" s="22"/>
      <c r="B938" s="16"/>
      <c r="C938" s="23"/>
      <c r="D938" s="24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8.75" customHeight="1" x14ac:dyDescent="0.2">
      <c r="A939" s="22"/>
      <c r="B939" s="16"/>
      <c r="C939" s="23"/>
      <c r="D939" s="24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8.75" customHeight="1" x14ac:dyDescent="0.2">
      <c r="A940" s="22"/>
      <c r="B940" s="16"/>
      <c r="C940" s="23"/>
      <c r="D940" s="24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8.75" customHeight="1" x14ac:dyDescent="0.2">
      <c r="A941" s="22"/>
      <c r="B941" s="16"/>
      <c r="C941" s="23"/>
      <c r="D941" s="24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8.75" customHeight="1" x14ac:dyDescent="0.2">
      <c r="A942" s="22"/>
      <c r="B942" s="16"/>
      <c r="C942" s="23"/>
      <c r="D942" s="24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8.75" customHeight="1" x14ac:dyDescent="0.2">
      <c r="A943" s="22"/>
      <c r="B943" s="16"/>
      <c r="C943" s="23"/>
      <c r="D943" s="24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8.75" customHeight="1" x14ac:dyDescent="0.2">
      <c r="A944" s="22"/>
      <c r="B944" s="16"/>
      <c r="C944" s="23"/>
      <c r="D944" s="24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8.75" customHeight="1" x14ac:dyDescent="0.2">
      <c r="A945" s="22"/>
      <c r="B945" s="16"/>
      <c r="C945" s="23"/>
      <c r="D945" s="24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8.75" customHeight="1" x14ac:dyDescent="0.2">
      <c r="A946" s="22"/>
      <c r="B946" s="16"/>
      <c r="C946" s="23"/>
      <c r="D946" s="24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8.75" customHeight="1" x14ac:dyDescent="0.2">
      <c r="A947" s="22"/>
      <c r="B947" s="16"/>
      <c r="C947" s="23"/>
      <c r="D947" s="24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8.75" customHeight="1" x14ac:dyDescent="0.2">
      <c r="A948" s="22"/>
      <c r="B948" s="16"/>
      <c r="C948" s="23"/>
      <c r="D948" s="24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8.75" customHeight="1" x14ac:dyDescent="0.2">
      <c r="A949" s="22"/>
      <c r="B949" s="16"/>
      <c r="C949" s="23"/>
      <c r="D949" s="24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8.75" customHeight="1" x14ac:dyDescent="0.2">
      <c r="A950" s="22"/>
      <c r="B950" s="16"/>
      <c r="C950" s="23"/>
      <c r="D950" s="24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8.75" customHeight="1" x14ac:dyDescent="0.2">
      <c r="A951" s="22"/>
      <c r="B951" s="16"/>
      <c r="C951" s="23"/>
      <c r="D951" s="24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8.75" customHeight="1" x14ac:dyDescent="0.2">
      <c r="A952" s="22"/>
      <c r="B952" s="16"/>
      <c r="C952" s="23"/>
      <c r="D952" s="24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8.75" customHeight="1" x14ac:dyDescent="0.2">
      <c r="A953" s="22"/>
      <c r="B953" s="16"/>
      <c r="C953" s="23"/>
      <c r="D953" s="24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8.75" customHeight="1" x14ac:dyDescent="0.2">
      <c r="A954" s="22"/>
      <c r="B954" s="16"/>
      <c r="C954" s="23"/>
      <c r="D954" s="24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8.75" customHeight="1" x14ac:dyDescent="0.2">
      <c r="A955" s="22"/>
      <c r="B955" s="16"/>
      <c r="C955" s="23"/>
      <c r="D955" s="24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8.75" customHeight="1" x14ac:dyDescent="0.2">
      <c r="A956" s="22"/>
      <c r="B956" s="16"/>
      <c r="C956" s="23"/>
      <c r="D956" s="24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8.75" customHeight="1" x14ac:dyDescent="0.2">
      <c r="A957" s="22"/>
      <c r="B957" s="16"/>
      <c r="C957" s="23"/>
      <c r="D957" s="24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8.75" customHeight="1" x14ac:dyDescent="0.2">
      <c r="A958" s="22"/>
      <c r="B958" s="16"/>
      <c r="C958" s="23"/>
      <c r="D958" s="24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8.75" customHeight="1" x14ac:dyDescent="0.2">
      <c r="A959" s="22"/>
      <c r="B959" s="16"/>
      <c r="C959" s="23"/>
      <c r="D959" s="24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8.75" customHeight="1" x14ac:dyDescent="0.2">
      <c r="A960" s="22"/>
      <c r="B960" s="16"/>
      <c r="C960" s="23"/>
      <c r="D960" s="24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8.75" customHeight="1" x14ac:dyDescent="0.2">
      <c r="A961" s="22"/>
      <c r="B961" s="16"/>
      <c r="C961" s="23"/>
      <c r="D961" s="24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8.75" customHeight="1" x14ac:dyDescent="0.2">
      <c r="A962" s="22"/>
      <c r="B962" s="16"/>
      <c r="C962" s="23"/>
      <c r="D962" s="24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8.75" customHeight="1" x14ac:dyDescent="0.2">
      <c r="A963" s="22"/>
      <c r="B963" s="16"/>
      <c r="C963" s="23"/>
      <c r="D963" s="24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8.75" customHeight="1" x14ac:dyDescent="0.2">
      <c r="A964" s="22"/>
      <c r="B964" s="16"/>
      <c r="C964" s="23"/>
      <c r="D964" s="24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8.75" customHeight="1" x14ac:dyDescent="0.2">
      <c r="A965" s="22"/>
      <c r="B965" s="16"/>
      <c r="C965" s="23"/>
      <c r="D965" s="24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8.75" customHeight="1" x14ac:dyDescent="0.2">
      <c r="A966" s="22"/>
      <c r="B966" s="16"/>
      <c r="C966" s="23"/>
      <c r="D966" s="24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8.75" customHeight="1" x14ac:dyDescent="0.2">
      <c r="A967" s="22"/>
      <c r="B967" s="16"/>
      <c r="C967" s="23"/>
      <c r="D967" s="24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8.75" customHeight="1" x14ac:dyDescent="0.2">
      <c r="A968" s="22"/>
      <c r="B968" s="16"/>
      <c r="C968" s="23"/>
      <c r="D968" s="24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8.75" customHeight="1" x14ac:dyDescent="0.2">
      <c r="A969" s="22"/>
      <c r="B969" s="16"/>
      <c r="C969" s="23"/>
      <c r="D969" s="24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8.75" customHeight="1" x14ac:dyDescent="0.2">
      <c r="A970" s="22"/>
      <c r="B970" s="16"/>
      <c r="C970" s="23"/>
      <c r="D970" s="24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8.75" customHeight="1" x14ac:dyDescent="0.2">
      <c r="A971" s="22"/>
      <c r="B971" s="16"/>
      <c r="C971" s="23"/>
      <c r="D971" s="24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8.75" customHeight="1" x14ac:dyDescent="0.2">
      <c r="A972" s="22"/>
      <c r="B972" s="16"/>
      <c r="C972" s="23"/>
      <c r="D972" s="24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8.75" customHeight="1" x14ac:dyDescent="0.2">
      <c r="A973" s="22"/>
      <c r="B973" s="16"/>
      <c r="C973" s="23"/>
      <c r="D973" s="24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8.75" customHeight="1" x14ac:dyDescent="0.2">
      <c r="A974" s="22"/>
      <c r="B974" s="16"/>
      <c r="C974" s="23"/>
      <c r="D974" s="24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8.75" customHeight="1" x14ac:dyDescent="0.2">
      <c r="A975" s="22"/>
      <c r="B975" s="16"/>
      <c r="C975" s="23"/>
      <c r="D975" s="24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8.75" customHeight="1" x14ac:dyDescent="0.2">
      <c r="A976" s="22"/>
      <c r="B976" s="16"/>
      <c r="C976" s="23"/>
      <c r="D976" s="24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8.75" customHeight="1" x14ac:dyDescent="0.2">
      <c r="A977" s="22"/>
      <c r="B977" s="16"/>
      <c r="C977" s="23"/>
      <c r="D977" s="24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8.75" customHeight="1" x14ac:dyDescent="0.2">
      <c r="A978" s="22"/>
      <c r="B978" s="16"/>
      <c r="C978" s="23"/>
      <c r="D978" s="24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8.75" customHeight="1" x14ac:dyDescent="0.2">
      <c r="A979" s="22"/>
      <c r="B979" s="16"/>
      <c r="C979" s="23"/>
      <c r="D979" s="24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8.75" customHeight="1" x14ac:dyDescent="0.2">
      <c r="A980" s="22"/>
      <c r="B980" s="16"/>
      <c r="C980" s="23"/>
      <c r="D980" s="24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8.75" customHeight="1" x14ac:dyDescent="0.2">
      <c r="A981" s="22"/>
      <c r="B981" s="16"/>
      <c r="C981" s="23"/>
      <c r="D981" s="24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8.75" customHeight="1" x14ac:dyDescent="0.2">
      <c r="A982" s="22"/>
      <c r="B982" s="16"/>
      <c r="C982" s="23"/>
      <c r="D982" s="24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8.75" customHeight="1" x14ac:dyDescent="0.2">
      <c r="A983" s="22"/>
      <c r="B983" s="16"/>
      <c r="C983" s="23"/>
      <c r="D983" s="24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8.75" customHeight="1" x14ac:dyDescent="0.2">
      <c r="A984" s="22"/>
      <c r="B984" s="16"/>
      <c r="C984" s="23"/>
      <c r="D984" s="24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8.75" customHeight="1" x14ac:dyDescent="0.2">
      <c r="A985" s="22"/>
      <c r="B985" s="16"/>
      <c r="C985" s="23"/>
      <c r="D985" s="24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8.75" customHeight="1" x14ac:dyDescent="0.2">
      <c r="A986" s="22"/>
      <c r="B986" s="16"/>
      <c r="C986" s="23"/>
      <c r="D986" s="24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8.75" customHeight="1" x14ac:dyDescent="0.2">
      <c r="A987" s="22"/>
      <c r="B987" s="16"/>
      <c r="C987" s="23"/>
      <c r="D987" s="24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8.75" customHeight="1" x14ac:dyDescent="0.2">
      <c r="A988" s="22"/>
      <c r="B988" s="16"/>
      <c r="C988" s="23"/>
      <c r="D988" s="24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8.75" customHeight="1" x14ac:dyDescent="0.2">
      <c r="A989" s="22"/>
      <c r="B989" s="16"/>
      <c r="C989" s="23"/>
      <c r="D989" s="24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8.75" customHeight="1" x14ac:dyDescent="0.2">
      <c r="A990" s="22"/>
      <c r="B990" s="16"/>
      <c r="C990" s="23"/>
      <c r="D990" s="24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8.75" customHeight="1" x14ac:dyDescent="0.2">
      <c r="A991" s="22"/>
      <c r="B991" s="16"/>
      <c r="C991" s="23"/>
      <c r="D991" s="24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8.75" customHeight="1" x14ac:dyDescent="0.2">
      <c r="A992" s="22"/>
      <c r="B992" s="16"/>
      <c r="C992" s="23"/>
      <c r="D992" s="24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8.75" customHeight="1" x14ac:dyDescent="0.2">
      <c r="A993" s="22"/>
      <c r="B993" s="16"/>
      <c r="C993" s="23"/>
      <c r="D993" s="24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8.75" customHeight="1" x14ac:dyDescent="0.2">
      <c r="A994" s="22"/>
      <c r="B994" s="16"/>
      <c r="C994" s="23"/>
      <c r="D994" s="24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8.75" customHeight="1" x14ac:dyDescent="0.2">
      <c r="A995" s="22"/>
      <c r="B995" s="16"/>
      <c r="C995" s="23"/>
      <c r="D995" s="24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8.75" customHeight="1" x14ac:dyDescent="0.2">
      <c r="A996" s="22"/>
      <c r="B996" s="16"/>
      <c r="C996" s="23"/>
      <c r="D996" s="24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8.75" customHeight="1" x14ac:dyDescent="0.2">
      <c r="A997" s="22"/>
      <c r="B997" s="16"/>
      <c r="C997" s="23"/>
      <c r="D997" s="24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8.75" customHeight="1" x14ac:dyDescent="0.2">
      <c r="A998" s="22"/>
      <c r="B998" s="16"/>
      <c r="C998" s="23"/>
      <c r="D998" s="24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8.75" customHeight="1" x14ac:dyDescent="0.2">
      <c r="A999" s="22"/>
      <c r="B999" s="16"/>
      <c r="C999" s="23"/>
      <c r="D999" s="24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</sheetData>
  <mergeCells count="31">
    <mergeCell ref="A1:B2"/>
    <mergeCell ref="C1:P1"/>
    <mergeCell ref="Q1:R1"/>
    <mergeCell ref="C2:P2"/>
    <mergeCell ref="Q2:R2"/>
    <mergeCell ref="C4:R4"/>
    <mergeCell ref="A5:R5"/>
    <mergeCell ref="N6:P6"/>
    <mergeCell ref="N7:P7"/>
    <mergeCell ref="D8:R8"/>
    <mergeCell ref="J9:R9"/>
    <mergeCell ref="J10:R10"/>
    <mergeCell ref="A6:D6"/>
    <mergeCell ref="E6:H6"/>
    <mergeCell ref="I6:M6"/>
    <mergeCell ref="Q6:R6"/>
    <mergeCell ref="Q7:R7"/>
    <mergeCell ref="I7:M7"/>
    <mergeCell ref="E7:H7"/>
    <mergeCell ref="A7:D7"/>
    <mergeCell ref="A8:C8"/>
    <mergeCell ref="A9:I9"/>
    <mergeCell ref="A10:I10"/>
    <mergeCell ref="B17:D17"/>
    <mergeCell ref="B16:D16"/>
    <mergeCell ref="B18:D18"/>
    <mergeCell ref="B11:D11"/>
    <mergeCell ref="B12:D12"/>
    <mergeCell ref="B13:D13"/>
    <mergeCell ref="B14:D14"/>
    <mergeCell ref="B15:D15"/>
  </mergeCells>
  <phoneticPr fontId="20" type="noConversion"/>
  <printOptions horizontalCentered="1"/>
  <pageMargins left="0.70866141732283472" right="0.70866141732283472" top="0.74803149606299213" bottom="0.74803149606299213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00"/>
  <sheetViews>
    <sheetView topLeftCell="A4" zoomScale="60" zoomScaleNormal="60" workbookViewId="0">
      <selection activeCell="E12" sqref="E12:E18"/>
    </sheetView>
  </sheetViews>
  <sheetFormatPr baseColWidth="10" defaultColWidth="10.140625" defaultRowHeight="15" customHeight="1" x14ac:dyDescent="0.2"/>
  <cols>
    <col min="1" max="1" width="11" customWidth="1"/>
    <col min="2" max="2" width="85.42578125" customWidth="1"/>
    <col min="3" max="3" width="28.42578125" customWidth="1"/>
    <col min="4" max="4" width="38.140625" customWidth="1"/>
    <col min="5" max="5" width="14.85546875" customWidth="1"/>
    <col min="6" max="6" width="15.85546875" customWidth="1"/>
    <col min="7" max="7" width="14.140625" customWidth="1"/>
    <col min="8" max="8" width="13.140625" customWidth="1"/>
    <col min="9" max="9" width="17.140625" customWidth="1"/>
    <col min="10" max="10" width="19.85546875" customWidth="1"/>
    <col min="11" max="11" width="24.85546875" customWidth="1"/>
    <col min="12" max="13" width="20.85546875" customWidth="1"/>
    <col min="14" max="14" width="44.85546875" customWidth="1"/>
    <col min="15" max="15" width="49.42578125" customWidth="1"/>
    <col min="16" max="16" width="51.140625" customWidth="1"/>
    <col min="17" max="17" width="42.140625" customWidth="1"/>
    <col min="18" max="18" width="43.140625" customWidth="1"/>
    <col min="19" max="27" width="11" customWidth="1"/>
  </cols>
  <sheetData>
    <row r="1" spans="1:27" ht="34.5" customHeight="1" x14ac:dyDescent="0.2">
      <c r="A1" s="149"/>
      <c r="B1" s="150"/>
      <c r="C1" s="153" t="s">
        <v>0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2"/>
      <c r="Q1" s="153" t="s">
        <v>1</v>
      </c>
      <c r="R1" s="132"/>
      <c r="S1" s="16"/>
      <c r="T1" s="16"/>
      <c r="U1" s="16"/>
      <c r="V1" s="16"/>
      <c r="W1" s="16"/>
      <c r="X1" s="16"/>
      <c r="Y1" s="16"/>
      <c r="Z1" s="16"/>
      <c r="AA1" s="16"/>
    </row>
    <row r="2" spans="1:27" ht="260" customHeight="1" x14ac:dyDescent="0.2">
      <c r="A2" s="151"/>
      <c r="B2" s="152"/>
      <c r="C2" s="153" t="s">
        <v>2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53" t="s">
        <v>3</v>
      </c>
      <c r="R2" s="132"/>
      <c r="S2" s="16"/>
      <c r="T2" s="16"/>
      <c r="U2" s="16"/>
      <c r="V2" s="16"/>
      <c r="W2" s="16"/>
      <c r="X2" s="16"/>
      <c r="Y2" s="16"/>
      <c r="Z2" s="16"/>
      <c r="AA2" s="16"/>
    </row>
    <row r="3" spans="1:27" ht="30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6"/>
      <c r="T3" s="16"/>
      <c r="U3" s="16"/>
      <c r="V3" s="16"/>
      <c r="W3" s="16"/>
      <c r="X3" s="16"/>
      <c r="Y3" s="16"/>
      <c r="Z3" s="16"/>
      <c r="AA3" s="16"/>
    </row>
    <row r="4" spans="1:27" ht="30" customHeight="1" x14ac:dyDescent="0.2">
      <c r="A4" s="3" t="s">
        <v>4</v>
      </c>
      <c r="B4" s="3"/>
      <c r="C4" s="145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2"/>
      <c r="S4" s="16"/>
      <c r="T4" s="16"/>
      <c r="U4" s="16"/>
      <c r="V4" s="16"/>
      <c r="W4" s="16"/>
      <c r="X4" s="16"/>
      <c r="Y4" s="16"/>
      <c r="Z4" s="16"/>
      <c r="AA4" s="16"/>
    </row>
    <row r="5" spans="1:27" ht="30" customHeight="1" x14ac:dyDescent="0.2">
      <c r="A5" s="146" t="s">
        <v>5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2"/>
      <c r="S5" s="16"/>
      <c r="T5" s="16"/>
      <c r="U5" s="16"/>
      <c r="V5" s="16"/>
      <c r="W5" s="16"/>
      <c r="X5" s="16"/>
      <c r="Y5" s="16"/>
      <c r="Z5" s="16"/>
      <c r="AA5" s="16"/>
    </row>
    <row r="6" spans="1:27" ht="30" customHeight="1" x14ac:dyDescent="0.2">
      <c r="A6" s="177" t="s">
        <v>6</v>
      </c>
      <c r="B6" s="131"/>
      <c r="C6" s="131"/>
      <c r="D6" s="132"/>
      <c r="E6" s="177" t="s">
        <v>7</v>
      </c>
      <c r="F6" s="131"/>
      <c r="G6" s="131"/>
      <c r="H6" s="132"/>
      <c r="I6" s="177" t="s">
        <v>8</v>
      </c>
      <c r="J6" s="131"/>
      <c r="K6" s="131"/>
      <c r="L6" s="131"/>
      <c r="M6" s="132"/>
      <c r="N6" s="177" t="s">
        <v>9</v>
      </c>
      <c r="O6" s="131"/>
      <c r="P6" s="132"/>
      <c r="Q6" s="177" t="s">
        <v>10</v>
      </c>
      <c r="R6" s="132"/>
      <c r="S6" s="16"/>
      <c r="T6" s="16"/>
      <c r="U6" s="16"/>
      <c r="V6" s="16"/>
      <c r="W6" s="16"/>
      <c r="X6" s="16"/>
      <c r="Y6" s="16"/>
      <c r="Z6" s="16"/>
      <c r="AA6" s="16"/>
    </row>
    <row r="7" spans="1:27" ht="131" customHeight="1" x14ac:dyDescent="0.2">
      <c r="A7" s="139">
        <f>'DOCUMENTO INTERNO'!A7:D7</f>
        <v>0</v>
      </c>
      <c r="B7" s="140"/>
      <c r="C7" s="140"/>
      <c r="D7" s="141"/>
      <c r="E7" s="139">
        <f>'DOCUMENTO INTERNO'!E7:H7</f>
        <v>0</v>
      </c>
      <c r="F7" s="140"/>
      <c r="G7" s="140"/>
      <c r="H7" s="141"/>
      <c r="I7" s="139">
        <f>'DOCUMENTO INTERNO'!I7:M7</f>
        <v>0</v>
      </c>
      <c r="J7" s="140"/>
      <c r="K7" s="140"/>
      <c r="L7" s="140"/>
      <c r="M7" s="141"/>
      <c r="N7" s="147">
        <f>'DOCUMENTO INTERNO'!N7:P7</f>
        <v>0</v>
      </c>
      <c r="O7" s="140"/>
      <c r="P7" s="141"/>
      <c r="Q7" s="138"/>
      <c r="R7" s="132"/>
      <c r="S7" s="16"/>
      <c r="T7" s="16"/>
      <c r="U7" s="16"/>
      <c r="V7" s="16"/>
      <c r="W7" s="16"/>
      <c r="X7" s="16"/>
      <c r="Y7" s="16"/>
      <c r="Z7" s="16"/>
      <c r="AA7" s="16"/>
    </row>
    <row r="8" spans="1:27" ht="30" customHeight="1" x14ac:dyDescent="0.2">
      <c r="A8" s="130" t="s">
        <v>11</v>
      </c>
      <c r="B8" s="131"/>
      <c r="C8" s="132"/>
      <c r="D8" s="153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2"/>
      <c r="S8" s="16"/>
      <c r="T8" s="16"/>
      <c r="U8" s="16"/>
      <c r="V8" s="16"/>
      <c r="W8" s="16"/>
      <c r="X8" s="16"/>
      <c r="Y8" s="16"/>
      <c r="Z8" s="16"/>
      <c r="AA8" s="16"/>
    </row>
    <row r="9" spans="1:27" ht="30" customHeight="1" x14ac:dyDescent="0.2">
      <c r="A9" s="130" t="s">
        <v>12</v>
      </c>
      <c r="B9" s="131"/>
      <c r="C9" s="131"/>
      <c r="D9" s="131"/>
      <c r="E9" s="131"/>
      <c r="F9" s="131"/>
      <c r="G9" s="131"/>
      <c r="H9" s="131"/>
      <c r="I9" s="132"/>
      <c r="J9" s="130" t="s">
        <v>13</v>
      </c>
      <c r="K9" s="131"/>
      <c r="L9" s="131"/>
      <c r="M9" s="131"/>
      <c r="N9" s="131"/>
      <c r="O9" s="131"/>
      <c r="P9" s="131"/>
      <c r="Q9" s="131"/>
      <c r="R9" s="132"/>
      <c r="S9" s="16"/>
      <c r="T9" s="16"/>
      <c r="U9" s="16"/>
      <c r="V9" s="16"/>
      <c r="W9" s="16"/>
      <c r="X9" s="16"/>
      <c r="Y9" s="16"/>
      <c r="Z9" s="16"/>
      <c r="AA9" s="16"/>
    </row>
    <row r="10" spans="1:27" ht="30" customHeight="1" x14ac:dyDescent="0.2">
      <c r="A10" s="133"/>
      <c r="B10" s="131"/>
      <c r="C10" s="131"/>
      <c r="D10" s="131"/>
      <c r="E10" s="131"/>
      <c r="F10" s="131"/>
      <c r="G10" s="131"/>
      <c r="H10" s="131"/>
      <c r="I10" s="132"/>
      <c r="J10" s="134"/>
      <c r="K10" s="131"/>
      <c r="L10" s="131"/>
      <c r="M10" s="131"/>
      <c r="N10" s="131"/>
      <c r="O10" s="131"/>
      <c r="P10" s="131"/>
      <c r="Q10" s="131"/>
      <c r="R10" s="132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4.5" customHeight="1" x14ac:dyDescent="0.2">
      <c r="A11" s="4" t="s">
        <v>14</v>
      </c>
      <c r="B11" s="130" t="s">
        <v>15</v>
      </c>
      <c r="C11" s="131"/>
      <c r="D11" s="132"/>
      <c r="E11" s="5" t="s">
        <v>16</v>
      </c>
      <c r="F11" s="5" t="s">
        <v>17</v>
      </c>
      <c r="G11" s="5" t="s">
        <v>18</v>
      </c>
      <c r="H11" s="4" t="s">
        <v>19</v>
      </c>
      <c r="I11" s="4" t="s">
        <v>20</v>
      </c>
      <c r="J11" s="4" t="s">
        <v>21</v>
      </c>
      <c r="K11" s="6" t="s">
        <v>22</v>
      </c>
      <c r="L11" s="6" t="s">
        <v>24</v>
      </c>
      <c r="M11" s="4" t="s">
        <v>23</v>
      </c>
      <c r="N11" s="4" t="s">
        <v>25</v>
      </c>
      <c r="O11" s="4" t="s">
        <v>26</v>
      </c>
      <c r="P11" s="4" t="s">
        <v>27</v>
      </c>
      <c r="Q11" s="4" t="s">
        <v>28</v>
      </c>
      <c r="R11" s="4" t="s">
        <v>29</v>
      </c>
      <c r="S11" s="2"/>
      <c r="T11" s="2"/>
      <c r="U11" s="2"/>
      <c r="V11" s="2"/>
      <c r="W11" s="2"/>
      <c r="X11" s="2"/>
      <c r="Y11" s="2"/>
      <c r="Z11" s="2"/>
      <c r="AA11" s="2"/>
    </row>
    <row r="12" spans="1:27" ht="30" customHeight="1" x14ac:dyDescent="0.2">
      <c r="A12" s="18">
        <v>1</v>
      </c>
      <c r="B12" s="170" t="s">
        <v>309</v>
      </c>
      <c r="C12" s="123"/>
      <c r="D12" s="124"/>
      <c r="E12" s="8" t="s">
        <v>458</v>
      </c>
      <c r="F12" s="8" t="s">
        <v>310</v>
      </c>
      <c r="G12" s="25" t="s">
        <v>33</v>
      </c>
      <c r="H12" s="10" t="s">
        <v>34</v>
      </c>
      <c r="I12" s="8" t="s">
        <v>35</v>
      </c>
      <c r="J12" s="49"/>
      <c r="K12" s="11" t="s">
        <v>58</v>
      </c>
      <c r="L12" s="11" t="s">
        <v>65</v>
      </c>
      <c r="M12" s="8" t="s">
        <v>59</v>
      </c>
      <c r="N12" s="11" t="s">
        <v>38</v>
      </c>
      <c r="O12" s="11" t="s">
        <v>91</v>
      </c>
      <c r="P12" s="11" t="s">
        <v>40</v>
      </c>
      <c r="Q12" s="11" t="s">
        <v>41</v>
      </c>
      <c r="R12" s="52" t="s">
        <v>394</v>
      </c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0" customHeight="1" x14ac:dyDescent="0.2">
      <c r="A13" s="18">
        <v>2</v>
      </c>
      <c r="B13" s="170" t="s">
        <v>311</v>
      </c>
      <c r="C13" s="123"/>
      <c r="D13" s="124"/>
      <c r="E13" s="8" t="s">
        <v>458</v>
      </c>
      <c r="F13" s="8" t="s">
        <v>310</v>
      </c>
      <c r="G13" s="25" t="s">
        <v>43</v>
      </c>
      <c r="H13" s="10" t="s">
        <v>34</v>
      </c>
      <c r="I13" s="8" t="s">
        <v>35</v>
      </c>
      <c r="J13" s="49"/>
      <c r="K13" s="11" t="s">
        <v>58</v>
      </c>
      <c r="L13" s="11" t="s">
        <v>65</v>
      </c>
      <c r="M13" s="8" t="s">
        <v>59</v>
      </c>
      <c r="N13" s="11" t="s">
        <v>38</v>
      </c>
      <c r="O13" s="11" t="s">
        <v>91</v>
      </c>
      <c r="P13" s="11" t="s">
        <v>40</v>
      </c>
      <c r="Q13" s="11" t="s">
        <v>41</v>
      </c>
      <c r="R13" s="52" t="s">
        <v>394</v>
      </c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30" customHeight="1" x14ac:dyDescent="0.2">
      <c r="A14" s="18">
        <v>3</v>
      </c>
      <c r="B14" s="170" t="s">
        <v>312</v>
      </c>
      <c r="C14" s="123"/>
      <c r="D14" s="124"/>
      <c r="E14" s="8" t="s">
        <v>458</v>
      </c>
      <c r="F14" s="26" t="s">
        <v>310</v>
      </c>
      <c r="G14" s="25" t="s">
        <v>45</v>
      </c>
      <c r="H14" s="10" t="s">
        <v>34</v>
      </c>
      <c r="I14" s="8" t="s">
        <v>35</v>
      </c>
      <c r="J14" s="49"/>
      <c r="K14" s="11" t="s">
        <v>58</v>
      </c>
      <c r="L14" s="11" t="s">
        <v>65</v>
      </c>
      <c r="M14" s="8" t="s">
        <v>59</v>
      </c>
      <c r="N14" s="11" t="s">
        <v>38</v>
      </c>
      <c r="O14" s="11" t="s">
        <v>91</v>
      </c>
      <c r="P14" s="11" t="s">
        <v>40</v>
      </c>
      <c r="Q14" s="11" t="s">
        <v>41</v>
      </c>
      <c r="R14" s="52" t="s">
        <v>394</v>
      </c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30" customHeight="1" x14ac:dyDescent="0.2">
      <c r="A15" s="18">
        <v>4</v>
      </c>
      <c r="B15" s="170" t="s">
        <v>313</v>
      </c>
      <c r="C15" s="123"/>
      <c r="D15" s="123"/>
      <c r="E15" s="8" t="s">
        <v>458</v>
      </c>
      <c r="F15" s="8" t="s">
        <v>310</v>
      </c>
      <c r="G15" s="27" t="s">
        <v>47</v>
      </c>
      <c r="H15" s="10" t="s">
        <v>34</v>
      </c>
      <c r="I15" s="8" t="s">
        <v>35</v>
      </c>
      <c r="J15" s="49"/>
      <c r="K15" s="11" t="s">
        <v>58</v>
      </c>
      <c r="L15" s="11" t="s">
        <v>65</v>
      </c>
      <c r="M15" s="8" t="s">
        <v>59</v>
      </c>
      <c r="N15" s="11" t="s">
        <v>38</v>
      </c>
      <c r="O15" s="11" t="s">
        <v>91</v>
      </c>
      <c r="P15" s="11" t="s">
        <v>40</v>
      </c>
      <c r="Q15" s="11" t="s">
        <v>41</v>
      </c>
      <c r="R15" s="52" t="s">
        <v>394</v>
      </c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0" customHeight="1" x14ac:dyDescent="0.2">
      <c r="A16" s="18">
        <v>5</v>
      </c>
      <c r="B16" s="170" t="s">
        <v>314</v>
      </c>
      <c r="C16" s="123"/>
      <c r="D16" s="123"/>
      <c r="E16" s="8" t="s">
        <v>458</v>
      </c>
      <c r="F16" s="8" t="s">
        <v>310</v>
      </c>
      <c r="G16" s="27" t="s">
        <v>49</v>
      </c>
      <c r="H16" s="10" t="s">
        <v>34</v>
      </c>
      <c r="I16" s="8" t="s">
        <v>35</v>
      </c>
      <c r="J16" s="49"/>
      <c r="K16" s="11" t="s">
        <v>58</v>
      </c>
      <c r="L16" s="11" t="s">
        <v>65</v>
      </c>
      <c r="M16" s="8" t="s">
        <v>59</v>
      </c>
      <c r="N16" s="11" t="s">
        <v>38</v>
      </c>
      <c r="O16" s="11" t="s">
        <v>91</v>
      </c>
      <c r="P16" s="11" t="s">
        <v>40</v>
      </c>
      <c r="Q16" s="11" t="s">
        <v>41</v>
      </c>
      <c r="R16" s="52" t="s">
        <v>394</v>
      </c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30" customHeight="1" x14ac:dyDescent="0.2">
      <c r="A17" s="18">
        <v>6</v>
      </c>
      <c r="B17" s="170" t="s">
        <v>315</v>
      </c>
      <c r="C17" s="123"/>
      <c r="D17" s="123"/>
      <c r="E17" s="8" t="s">
        <v>458</v>
      </c>
      <c r="F17" s="8" t="s">
        <v>310</v>
      </c>
      <c r="G17" s="28" t="s">
        <v>51</v>
      </c>
      <c r="H17" s="29" t="s">
        <v>34</v>
      </c>
      <c r="I17" s="26" t="s">
        <v>35</v>
      </c>
      <c r="J17" s="49"/>
      <c r="K17" s="30" t="s">
        <v>58</v>
      </c>
      <c r="L17" s="11" t="s">
        <v>65</v>
      </c>
      <c r="M17" s="26" t="s">
        <v>59</v>
      </c>
      <c r="N17" s="30" t="s">
        <v>38</v>
      </c>
      <c r="O17" s="30" t="s">
        <v>91</v>
      </c>
      <c r="P17" s="30" t="s">
        <v>40</v>
      </c>
      <c r="Q17" s="30" t="s">
        <v>41</v>
      </c>
      <c r="R17" s="52" t="s">
        <v>394</v>
      </c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38.25" customHeight="1" x14ac:dyDescent="0.2">
      <c r="A18" s="18">
        <v>7</v>
      </c>
      <c r="B18" s="170" t="s">
        <v>316</v>
      </c>
      <c r="C18" s="123"/>
      <c r="D18" s="123"/>
      <c r="E18" s="8" t="s">
        <v>458</v>
      </c>
      <c r="F18" s="8" t="s">
        <v>310</v>
      </c>
      <c r="G18" s="25" t="s">
        <v>53</v>
      </c>
      <c r="H18" s="10" t="s">
        <v>34</v>
      </c>
      <c r="I18" s="8" t="s">
        <v>35</v>
      </c>
      <c r="J18" s="49"/>
      <c r="K18" s="11" t="s">
        <v>58</v>
      </c>
      <c r="L18" s="11" t="s">
        <v>65</v>
      </c>
      <c r="M18" s="8" t="s">
        <v>59</v>
      </c>
      <c r="N18" s="11" t="s">
        <v>38</v>
      </c>
      <c r="O18" s="11" t="s">
        <v>91</v>
      </c>
      <c r="P18" s="11" t="s">
        <v>40</v>
      </c>
      <c r="Q18" s="11" t="s">
        <v>41</v>
      </c>
      <c r="R18" s="52" t="s">
        <v>394</v>
      </c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8.75" customHeight="1" x14ac:dyDescent="0.2">
      <c r="A19" s="22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21" customHeight="1" thickBot="1" x14ac:dyDescent="0.25">
      <c r="A20" s="157" t="s">
        <v>83</v>
      </c>
      <c r="B20" s="155"/>
      <c r="C20" s="155"/>
      <c r="D20" s="155"/>
      <c r="E20" s="155"/>
      <c r="F20" s="155"/>
      <c r="G20" s="155"/>
      <c r="H20" s="155"/>
      <c r="I20" s="155"/>
      <c r="J20" s="15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23.25" customHeight="1" thickBot="1" x14ac:dyDescent="0.25">
      <c r="A21" s="158" t="s">
        <v>84</v>
      </c>
      <c r="B21" s="155"/>
      <c r="C21" s="159"/>
      <c r="D21" s="160"/>
      <c r="E21" s="155"/>
      <c r="F21" s="155"/>
      <c r="G21" s="155"/>
      <c r="H21" s="155"/>
      <c r="I21" s="155"/>
      <c r="J21" s="15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27" customHeight="1" thickBot="1" x14ac:dyDescent="0.25">
      <c r="A22" s="158" t="s">
        <v>85</v>
      </c>
      <c r="B22" s="155"/>
      <c r="C22" s="159"/>
      <c r="D22" s="154"/>
      <c r="E22" s="155"/>
      <c r="F22" s="155"/>
      <c r="G22" s="155"/>
      <c r="H22" s="155"/>
      <c r="I22" s="155"/>
      <c r="J22" s="15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21" customHeight="1" thickBot="1" x14ac:dyDescent="0.25">
      <c r="A23" s="158" t="s">
        <v>86</v>
      </c>
      <c r="B23" s="155"/>
      <c r="C23" s="159"/>
      <c r="D23" s="163"/>
      <c r="E23" s="162"/>
      <c r="F23" s="162"/>
      <c r="G23" s="162"/>
      <c r="H23" s="162"/>
      <c r="I23" s="162"/>
      <c r="J23" s="164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94.5" customHeight="1" thickBot="1" x14ac:dyDescent="0.25">
      <c r="A24" s="158" t="s">
        <v>87</v>
      </c>
      <c r="B24" s="155"/>
      <c r="C24" s="159"/>
      <c r="D24" s="154"/>
      <c r="E24" s="155"/>
      <c r="F24" s="155"/>
      <c r="G24" s="155"/>
      <c r="H24" s="155"/>
      <c r="I24" s="155"/>
      <c r="J24" s="15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8.75" customHeight="1" x14ac:dyDescent="0.2">
      <c r="A25" s="22"/>
      <c r="B25" s="16"/>
      <c r="C25" s="23"/>
      <c r="D25" s="24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8.75" customHeight="1" x14ac:dyDescent="0.2">
      <c r="A26" s="22"/>
      <c r="B26" s="16"/>
      <c r="C26" s="23"/>
      <c r="D26" s="24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8.75" customHeight="1" x14ac:dyDescent="0.2">
      <c r="A27" s="22"/>
      <c r="B27" s="16"/>
      <c r="C27" s="23"/>
      <c r="D27" s="2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8.75" customHeight="1" x14ac:dyDescent="0.2">
      <c r="A28" s="22"/>
      <c r="B28" s="16"/>
      <c r="C28" s="23"/>
      <c r="D28" s="24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8.75" customHeight="1" x14ac:dyDescent="0.2">
      <c r="A29" s="22"/>
      <c r="B29" s="16"/>
      <c r="C29" s="23"/>
      <c r="D29" s="24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8.75" customHeight="1" x14ac:dyDescent="0.2">
      <c r="A30" s="22"/>
      <c r="B30" s="16"/>
      <c r="C30" s="23"/>
      <c r="D30" s="24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8.75" customHeight="1" x14ac:dyDescent="0.2">
      <c r="A31" s="22"/>
      <c r="B31" s="16"/>
      <c r="C31" s="23"/>
      <c r="D31" s="24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8.75" customHeight="1" x14ac:dyDescent="0.2">
      <c r="A32" s="22"/>
      <c r="B32" s="16"/>
      <c r="C32" s="23"/>
      <c r="D32" s="24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8.75" customHeight="1" x14ac:dyDescent="0.2">
      <c r="A33" s="22"/>
      <c r="B33" s="16"/>
      <c r="C33" s="23"/>
      <c r="D33" s="24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8.75" customHeight="1" x14ac:dyDescent="0.2">
      <c r="A34" s="22"/>
      <c r="B34" s="16"/>
      <c r="C34" s="23"/>
      <c r="D34" s="24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8.75" customHeight="1" x14ac:dyDescent="0.2">
      <c r="A35" s="22"/>
      <c r="B35" s="16"/>
      <c r="C35" s="23"/>
      <c r="D35" s="24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8.75" customHeight="1" x14ac:dyDescent="0.2">
      <c r="A36" s="22"/>
      <c r="B36" s="16"/>
      <c r="C36" s="23"/>
      <c r="D36" s="24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8.75" customHeight="1" x14ac:dyDescent="0.2">
      <c r="A37" s="22"/>
      <c r="B37" s="16"/>
      <c r="C37" s="23"/>
      <c r="D37" s="2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8.75" customHeight="1" x14ac:dyDescent="0.2">
      <c r="A38" s="22"/>
      <c r="B38" s="16"/>
      <c r="C38" s="23"/>
      <c r="D38" s="24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8.75" customHeight="1" x14ac:dyDescent="0.2">
      <c r="A39" s="22"/>
      <c r="B39" s="16"/>
      <c r="C39" s="23"/>
      <c r="D39" s="24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8.75" customHeight="1" x14ac:dyDescent="0.2">
      <c r="A40" s="22"/>
      <c r="B40" s="16"/>
      <c r="C40" s="23"/>
      <c r="D40" s="24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8.75" customHeight="1" x14ac:dyDescent="0.2">
      <c r="A41" s="22"/>
      <c r="B41" s="16"/>
      <c r="C41" s="23"/>
      <c r="D41" s="24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8.75" customHeight="1" x14ac:dyDescent="0.2">
      <c r="A42" s="22"/>
      <c r="B42" s="16"/>
      <c r="C42" s="23"/>
      <c r="D42" s="24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8.75" customHeight="1" x14ac:dyDescent="0.2">
      <c r="A43" s="22"/>
      <c r="B43" s="16"/>
      <c r="C43" s="23"/>
      <c r="D43" s="24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8.75" customHeight="1" x14ac:dyDescent="0.2">
      <c r="A44" s="22"/>
      <c r="B44" s="16"/>
      <c r="C44" s="23"/>
      <c r="D44" s="24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8.75" customHeight="1" x14ac:dyDescent="0.2">
      <c r="A45" s="22"/>
      <c r="B45" s="16"/>
      <c r="C45" s="23"/>
      <c r="D45" s="24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8.75" customHeight="1" x14ac:dyDescent="0.2">
      <c r="A46" s="22"/>
      <c r="B46" s="16"/>
      <c r="C46" s="23"/>
      <c r="D46" s="2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8.75" customHeight="1" x14ac:dyDescent="0.2">
      <c r="A47" s="22"/>
      <c r="B47" s="16"/>
      <c r="C47" s="23"/>
      <c r="D47" s="2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8.75" customHeight="1" x14ac:dyDescent="0.2">
      <c r="A48" s="22"/>
      <c r="B48" s="16"/>
      <c r="C48" s="23"/>
      <c r="D48" s="24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8.75" customHeight="1" x14ac:dyDescent="0.2">
      <c r="A49" s="22"/>
      <c r="B49" s="16"/>
      <c r="C49" s="23"/>
      <c r="D49" s="24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8.75" customHeight="1" x14ac:dyDescent="0.2">
      <c r="A50" s="22"/>
      <c r="B50" s="16"/>
      <c r="C50" s="23"/>
      <c r="D50" s="24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8.75" customHeight="1" x14ac:dyDescent="0.2">
      <c r="A51" s="22"/>
      <c r="B51" s="16"/>
      <c r="C51" s="23"/>
      <c r="D51" s="24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8.75" customHeight="1" x14ac:dyDescent="0.2">
      <c r="A52" s="22"/>
      <c r="B52" s="16"/>
      <c r="C52" s="23"/>
      <c r="D52" s="24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8.75" customHeight="1" x14ac:dyDescent="0.2">
      <c r="A53" s="22"/>
      <c r="B53" s="16"/>
      <c r="C53" s="23"/>
      <c r="D53" s="24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8.75" customHeight="1" x14ac:dyDescent="0.2">
      <c r="A54" s="22"/>
      <c r="B54" s="16"/>
      <c r="C54" s="23"/>
      <c r="D54" s="24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8.75" customHeight="1" x14ac:dyDescent="0.2">
      <c r="A55" s="22"/>
      <c r="B55" s="16"/>
      <c r="C55" s="23"/>
      <c r="D55" s="24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8.75" customHeight="1" x14ac:dyDescent="0.2">
      <c r="A56" s="22"/>
      <c r="B56" s="16"/>
      <c r="C56" s="23"/>
      <c r="D56" s="24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8.75" customHeight="1" x14ac:dyDescent="0.2">
      <c r="A57" s="22"/>
      <c r="B57" s="16"/>
      <c r="C57" s="23"/>
      <c r="D57" s="24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8.75" customHeight="1" x14ac:dyDescent="0.2">
      <c r="A58" s="22"/>
      <c r="B58" s="16"/>
      <c r="C58" s="23"/>
      <c r="D58" s="2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8.75" customHeight="1" x14ac:dyDescent="0.2">
      <c r="A59" s="22"/>
      <c r="B59" s="16"/>
      <c r="C59" s="23"/>
      <c r="D59" s="2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8.75" customHeight="1" x14ac:dyDescent="0.2">
      <c r="A60" s="22"/>
      <c r="B60" s="16"/>
      <c r="C60" s="23"/>
      <c r="D60" s="24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8.75" customHeight="1" x14ac:dyDescent="0.2">
      <c r="A61" s="22"/>
      <c r="B61" s="16"/>
      <c r="C61" s="23"/>
      <c r="D61" s="24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8.75" customHeight="1" x14ac:dyDescent="0.2">
      <c r="A62" s="22"/>
      <c r="B62" s="16"/>
      <c r="C62" s="23"/>
      <c r="D62" s="24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8.75" customHeight="1" x14ac:dyDescent="0.2">
      <c r="A63" s="22"/>
      <c r="B63" s="16"/>
      <c r="C63" s="23"/>
      <c r="D63" s="24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8.75" customHeight="1" x14ac:dyDescent="0.2">
      <c r="A64" s="22"/>
      <c r="B64" s="16"/>
      <c r="C64" s="23"/>
      <c r="D64" s="24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8.75" customHeight="1" x14ac:dyDescent="0.2">
      <c r="A65" s="22"/>
      <c r="B65" s="16"/>
      <c r="C65" s="23"/>
      <c r="D65" s="24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8.75" customHeight="1" x14ac:dyDescent="0.2">
      <c r="A66" s="22"/>
      <c r="B66" s="16"/>
      <c r="C66" s="23"/>
      <c r="D66" s="24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8.75" customHeight="1" x14ac:dyDescent="0.2">
      <c r="A67" s="22"/>
      <c r="B67" s="16"/>
      <c r="C67" s="23"/>
      <c r="D67" s="24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8.75" customHeight="1" x14ac:dyDescent="0.2">
      <c r="A68" s="22"/>
      <c r="B68" s="16"/>
      <c r="C68" s="23"/>
      <c r="D68" s="24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8.75" customHeight="1" x14ac:dyDescent="0.2">
      <c r="A69" s="22"/>
      <c r="B69" s="16"/>
      <c r="C69" s="23"/>
      <c r="D69" s="2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8.75" customHeight="1" x14ac:dyDescent="0.2">
      <c r="A70" s="22"/>
      <c r="B70" s="16"/>
      <c r="C70" s="23"/>
      <c r="D70" s="24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8.75" customHeight="1" x14ac:dyDescent="0.2">
      <c r="A71" s="22"/>
      <c r="B71" s="16"/>
      <c r="C71" s="23"/>
      <c r="D71" s="24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8.75" customHeight="1" x14ac:dyDescent="0.2">
      <c r="A72" s="22"/>
      <c r="B72" s="16"/>
      <c r="C72" s="23"/>
      <c r="D72" s="24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8.75" customHeight="1" x14ac:dyDescent="0.2">
      <c r="A73" s="22"/>
      <c r="B73" s="16"/>
      <c r="C73" s="23"/>
      <c r="D73" s="24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8.75" customHeight="1" x14ac:dyDescent="0.2">
      <c r="A74" s="22"/>
      <c r="B74" s="16"/>
      <c r="C74" s="23"/>
      <c r="D74" s="24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8.75" customHeight="1" x14ac:dyDescent="0.2">
      <c r="A75" s="22"/>
      <c r="B75" s="16"/>
      <c r="C75" s="23"/>
      <c r="D75" s="24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8.75" customHeight="1" x14ac:dyDescent="0.2">
      <c r="A76" s="22"/>
      <c r="B76" s="16"/>
      <c r="C76" s="23"/>
      <c r="D76" s="24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8.75" customHeight="1" x14ac:dyDescent="0.2">
      <c r="A77" s="22"/>
      <c r="B77" s="16"/>
      <c r="C77" s="23"/>
      <c r="D77" s="24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8.75" customHeight="1" x14ac:dyDescent="0.2">
      <c r="A78" s="22"/>
      <c r="B78" s="16"/>
      <c r="C78" s="23"/>
      <c r="D78" s="24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8.75" customHeight="1" x14ac:dyDescent="0.2">
      <c r="A79" s="22"/>
      <c r="B79" s="16"/>
      <c r="C79" s="23"/>
      <c r="D79" s="24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8.75" customHeight="1" x14ac:dyDescent="0.2">
      <c r="A80" s="22"/>
      <c r="B80" s="16"/>
      <c r="C80" s="23"/>
      <c r="D80" s="24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8.75" customHeight="1" x14ac:dyDescent="0.2">
      <c r="A81" s="22"/>
      <c r="B81" s="16"/>
      <c r="C81" s="23"/>
      <c r="D81" s="24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8.75" customHeight="1" x14ac:dyDescent="0.2">
      <c r="A82" s="22"/>
      <c r="B82" s="16"/>
      <c r="C82" s="23"/>
      <c r="D82" s="24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8.75" customHeight="1" x14ac:dyDescent="0.2">
      <c r="A83" s="22"/>
      <c r="B83" s="16"/>
      <c r="C83" s="23"/>
      <c r="D83" s="24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8.75" customHeight="1" x14ac:dyDescent="0.2">
      <c r="A84" s="22"/>
      <c r="B84" s="16"/>
      <c r="C84" s="23"/>
      <c r="D84" s="24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8.75" customHeight="1" x14ac:dyDescent="0.2">
      <c r="A85" s="22"/>
      <c r="B85" s="16"/>
      <c r="C85" s="23"/>
      <c r="D85" s="24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8.75" customHeight="1" x14ac:dyDescent="0.2">
      <c r="A86" s="22"/>
      <c r="B86" s="16"/>
      <c r="C86" s="23"/>
      <c r="D86" s="24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8.75" customHeight="1" x14ac:dyDescent="0.2">
      <c r="A87" s="22"/>
      <c r="B87" s="16"/>
      <c r="C87" s="23"/>
      <c r="D87" s="24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8.75" customHeight="1" x14ac:dyDescent="0.2">
      <c r="A88" s="22"/>
      <c r="B88" s="16"/>
      <c r="C88" s="23"/>
      <c r="D88" s="24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8.75" customHeight="1" x14ac:dyDescent="0.2">
      <c r="A89" s="22"/>
      <c r="B89" s="16"/>
      <c r="C89" s="23"/>
      <c r="D89" s="24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8.75" customHeight="1" x14ac:dyDescent="0.2">
      <c r="A90" s="22"/>
      <c r="B90" s="16"/>
      <c r="C90" s="23"/>
      <c r="D90" s="24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8.75" customHeight="1" x14ac:dyDescent="0.2">
      <c r="A91" s="22"/>
      <c r="B91" s="16"/>
      <c r="C91" s="23"/>
      <c r="D91" s="24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8.75" customHeight="1" x14ac:dyDescent="0.2">
      <c r="A92" s="22"/>
      <c r="B92" s="16"/>
      <c r="C92" s="23"/>
      <c r="D92" s="24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8.75" customHeight="1" x14ac:dyDescent="0.2">
      <c r="A93" s="22"/>
      <c r="B93" s="16"/>
      <c r="C93" s="23"/>
      <c r="D93" s="24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8.75" customHeight="1" x14ac:dyDescent="0.2">
      <c r="A94" s="22"/>
      <c r="B94" s="16"/>
      <c r="C94" s="23"/>
      <c r="D94" s="24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8.75" customHeight="1" x14ac:dyDescent="0.2">
      <c r="A95" s="22"/>
      <c r="B95" s="16"/>
      <c r="C95" s="23"/>
      <c r="D95" s="24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8.75" customHeight="1" x14ac:dyDescent="0.2">
      <c r="A96" s="22"/>
      <c r="B96" s="16"/>
      <c r="C96" s="23"/>
      <c r="D96" s="24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8.75" customHeight="1" x14ac:dyDescent="0.2">
      <c r="A97" s="22"/>
      <c r="B97" s="16"/>
      <c r="C97" s="23"/>
      <c r="D97" s="24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8.75" customHeight="1" x14ac:dyDescent="0.2">
      <c r="A98" s="22"/>
      <c r="B98" s="16"/>
      <c r="C98" s="23"/>
      <c r="D98" s="24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8.75" customHeight="1" x14ac:dyDescent="0.2">
      <c r="A99" s="22"/>
      <c r="B99" s="16"/>
      <c r="C99" s="23"/>
      <c r="D99" s="24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8.75" customHeight="1" x14ac:dyDescent="0.2">
      <c r="A100" s="22"/>
      <c r="B100" s="16"/>
      <c r="C100" s="23"/>
      <c r="D100" s="24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8.75" customHeight="1" x14ac:dyDescent="0.2">
      <c r="A101" s="22"/>
      <c r="B101" s="16"/>
      <c r="C101" s="23"/>
      <c r="D101" s="24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8.75" customHeight="1" x14ac:dyDescent="0.2">
      <c r="A102" s="22"/>
      <c r="B102" s="16"/>
      <c r="C102" s="23"/>
      <c r="D102" s="24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8.75" customHeight="1" x14ac:dyDescent="0.2">
      <c r="A103" s="22"/>
      <c r="B103" s="16"/>
      <c r="C103" s="23"/>
      <c r="D103" s="24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8.75" customHeight="1" x14ac:dyDescent="0.2">
      <c r="A104" s="22"/>
      <c r="B104" s="16"/>
      <c r="C104" s="23"/>
      <c r="D104" s="24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8.75" customHeight="1" x14ac:dyDescent="0.2">
      <c r="A105" s="22"/>
      <c r="B105" s="16"/>
      <c r="C105" s="23"/>
      <c r="D105" s="24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8.75" customHeight="1" x14ac:dyDescent="0.2">
      <c r="A106" s="22"/>
      <c r="B106" s="16"/>
      <c r="C106" s="23"/>
      <c r="D106" s="24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8.75" customHeight="1" x14ac:dyDescent="0.2">
      <c r="A107" s="22"/>
      <c r="B107" s="16"/>
      <c r="C107" s="23"/>
      <c r="D107" s="24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8.75" customHeight="1" x14ac:dyDescent="0.2">
      <c r="A108" s="22"/>
      <c r="B108" s="16"/>
      <c r="C108" s="23"/>
      <c r="D108" s="24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8.75" customHeight="1" x14ac:dyDescent="0.2">
      <c r="A109" s="22"/>
      <c r="B109" s="16"/>
      <c r="C109" s="23"/>
      <c r="D109" s="24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8.75" customHeight="1" x14ac:dyDescent="0.2">
      <c r="A110" s="22"/>
      <c r="B110" s="16"/>
      <c r="C110" s="23"/>
      <c r="D110" s="24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8.75" customHeight="1" x14ac:dyDescent="0.2">
      <c r="A111" s="22"/>
      <c r="B111" s="16"/>
      <c r="C111" s="23"/>
      <c r="D111" s="24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8.75" customHeight="1" x14ac:dyDescent="0.2">
      <c r="A112" s="22"/>
      <c r="B112" s="16"/>
      <c r="C112" s="23"/>
      <c r="D112" s="24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8.75" customHeight="1" x14ac:dyDescent="0.2">
      <c r="A113" s="22"/>
      <c r="B113" s="16"/>
      <c r="C113" s="23"/>
      <c r="D113" s="24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8.75" customHeight="1" x14ac:dyDescent="0.2">
      <c r="A114" s="22"/>
      <c r="B114" s="16"/>
      <c r="C114" s="23"/>
      <c r="D114" s="24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8.75" customHeight="1" x14ac:dyDescent="0.2">
      <c r="A115" s="22"/>
      <c r="B115" s="16"/>
      <c r="C115" s="23"/>
      <c r="D115" s="24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8.75" customHeight="1" x14ac:dyDescent="0.2">
      <c r="A116" s="22"/>
      <c r="B116" s="16"/>
      <c r="C116" s="23"/>
      <c r="D116" s="24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8.75" customHeight="1" x14ac:dyDescent="0.2">
      <c r="A117" s="22"/>
      <c r="B117" s="16"/>
      <c r="C117" s="23"/>
      <c r="D117" s="24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8.75" customHeight="1" x14ac:dyDescent="0.2">
      <c r="A118" s="22"/>
      <c r="B118" s="16"/>
      <c r="C118" s="23"/>
      <c r="D118" s="24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8.75" customHeight="1" x14ac:dyDescent="0.2">
      <c r="A119" s="22"/>
      <c r="B119" s="16"/>
      <c r="C119" s="23"/>
      <c r="D119" s="24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8.75" customHeight="1" x14ac:dyDescent="0.2">
      <c r="A120" s="22"/>
      <c r="B120" s="16"/>
      <c r="C120" s="23"/>
      <c r="D120" s="24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8.75" customHeight="1" x14ac:dyDescent="0.2">
      <c r="A121" s="22"/>
      <c r="B121" s="16"/>
      <c r="C121" s="23"/>
      <c r="D121" s="24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8.75" customHeight="1" x14ac:dyDescent="0.2">
      <c r="A122" s="22"/>
      <c r="B122" s="16"/>
      <c r="C122" s="23"/>
      <c r="D122" s="24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8.75" customHeight="1" x14ac:dyDescent="0.2">
      <c r="A123" s="22"/>
      <c r="B123" s="16"/>
      <c r="C123" s="23"/>
      <c r="D123" s="24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8.75" customHeight="1" x14ac:dyDescent="0.2">
      <c r="A124" s="22"/>
      <c r="B124" s="16"/>
      <c r="C124" s="23"/>
      <c r="D124" s="24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8.75" customHeight="1" x14ac:dyDescent="0.2">
      <c r="A125" s="22"/>
      <c r="B125" s="16"/>
      <c r="C125" s="23"/>
      <c r="D125" s="24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8.75" customHeight="1" x14ac:dyDescent="0.2">
      <c r="A126" s="22"/>
      <c r="B126" s="16"/>
      <c r="C126" s="23"/>
      <c r="D126" s="24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8.75" customHeight="1" x14ac:dyDescent="0.2">
      <c r="A127" s="22"/>
      <c r="B127" s="16"/>
      <c r="C127" s="23"/>
      <c r="D127" s="24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8.75" customHeight="1" x14ac:dyDescent="0.2">
      <c r="A128" s="22"/>
      <c r="B128" s="16"/>
      <c r="C128" s="23"/>
      <c r="D128" s="24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8.75" customHeight="1" x14ac:dyDescent="0.2">
      <c r="A129" s="22"/>
      <c r="B129" s="16"/>
      <c r="C129" s="23"/>
      <c r="D129" s="24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8.75" customHeight="1" x14ac:dyDescent="0.2">
      <c r="A130" s="22"/>
      <c r="B130" s="16"/>
      <c r="C130" s="23"/>
      <c r="D130" s="24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8.75" customHeight="1" x14ac:dyDescent="0.2">
      <c r="A131" s="22"/>
      <c r="B131" s="16"/>
      <c r="C131" s="23"/>
      <c r="D131" s="24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8.75" customHeight="1" x14ac:dyDescent="0.2">
      <c r="A132" s="22"/>
      <c r="B132" s="16"/>
      <c r="C132" s="23"/>
      <c r="D132" s="24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8.75" customHeight="1" x14ac:dyDescent="0.2">
      <c r="A133" s="22"/>
      <c r="B133" s="16"/>
      <c r="C133" s="23"/>
      <c r="D133" s="24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8.75" customHeight="1" x14ac:dyDescent="0.2">
      <c r="A134" s="22"/>
      <c r="B134" s="16"/>
      <c r="C134" s="23"/>
      <c r="D134" s="24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8.75" customHeight="1" x14ac:dyDescent="0.2">
      <c r="A135" s="22"/>
      <c r="B135" s="16"/>
      <c r="C135" s="23"/>
      <c r="D135" s="24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8.75" customHeight="1" x14ac:dyDescent="0.2">
      <c r="A136" s="22"/>
      <c r="B136" s="16"/>
      <c r="C136" s="23"/>
      <c r="D136" s="24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8.75" customHeight="1" x14ac:dyDescent="0.2">
      <c r="A137" s="22"/>
      <c r="B137" s="16"/>
      <c r="C137" s="23"/>
      <c r="D137" s="2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8.75" customHeight="1" x14ac:dyDescent="0.2">
      <c r="A138" s="22"/>
      <c r="B138" s="16"/>
      <c r="C138" s="23"/>
      <c r="D138" s="24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8.75" customHeight="1" x14ac:dyDescent="0.2">
      <c r="A139" s="22"/>
      <c r="B139" s="16"/>
      <c r="C139" s="23"/>
      <c r="D139" s="24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8.75" customHeight="1" x14ac:dyDescent="0.2">
      <c r="A140" s="22"/>
      <c r="B140" s="16"/>
      <c r="C140" s="23"/>
      <c r="D140" s="24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8.75" customHeight="1" x14ac:dyDescent="0.2">
      <c r="A141" s="22"/>
      <c r="B141" s="16"/>
      <c r="C141" s="23"/>
      <c r="D141" s="24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8.75" customHeight="1" x14ac:dyDescent="0.2">
      <c r="A142" s="22"/>
      <c r="B142" s="16"/>
      <c r="C142" s="23"/>
      <c r="D142" s="24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8.75" customHeight="1" x14ac:dyDescent="0.2">
      <c r="A143" s="22"/>
      <c r="B143" s="16"/>
      <c r="C143" s="23"/>
      <c r="D143" s="24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8.75" customHeight="1" x14ac:dyDescent="0.2">
      <c r="A144" s="22"/>
      <c r="B144" s="16"/>
      <c r="C144" s="23"/>
      <c r="D144" s="24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8.75" customHeight="1" x14ac:dyDescent="0.2">
      <c r="A145" s="22"/>
      <c r="B145" s="16"/>
      <c r="C145" s="23"/>
      <c r="D145" s="24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8.75" customHeight="1" x14ac:dyDescent="0.2">
      <c r="A146" s="22"/>
      <c r="B146" s="16"/>
      <c r="C146" s="23"/>
      <c r="D146" s="24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8.75" customHeight="1" x14ac:dyDescent="0.2">
      <c r="A147" s="22"/>
      <c r="B147" s="16"/>
      <c r="C147" s="23"/>
      <c r="D147" s="24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8.75" customHeight="1" x14ac:dyDescent="0.2">
      <c r="A148" s="22"/>
      <c r="B148" s="16"/>
      <c r="C148" s="23"/>
      <c r="D148" s="24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8.75" customHeight="1" x14ac:dyDescent="0.2">
      <c r="A149" s="22"/>
      <c r="B149" s="16"/>
      <c r="C149" s="23"/>
      <c r="D149" s="24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8.75" customHeight="1" x14ac:dyDescent="0.2">
      <c r="A150" s="22"/>
      <c r="B150" s="16"/>
      <c r="C150" s="23"/>
      <c r="D150" s="24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8.75" customHeight="1" x14ac:dyDescent="0.2">
      <c r="A151" s="22"/>
      <c r="B151" s="16"/>
      <c r="C151" s="23"/>
      <c r="D151" s="24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8.75" customHeight="1" x14ac:dyDescent="0.2">
      <c r="A152" s="22"/>
      <c r="B152" s="16"/>
      <c r="C152" s="23"/>
      <c r="D152" s="24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8.75" customHeight="1" x14ac:dyDescent="0.2">
      <c r="A153" s="22"/>
      <c r="B153" s="16"/>
      <c r="C153" s="23"/>
      <c r="D153" s="24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8.75" customHeight="1" x14ac:dyDescent="0.2">
      <c r="A154" s="22"/>
      <c r="B154" s="16"/>
      <c r="C154" s="23"/>
      <c r="D154" s="24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8.75" customHeight="1" x14ac:dyDescent="0.2">
      <c r="A155" s="22"/>
      <c r="B155" s="16"/>
      <c r="C155" s="23"/>
      <c r="D155" s="24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8.75" customHeight="1" x14ac:dyDescent="0.2">
      <c r="A156" s="22"/>
      <c r="B156" s="16"/>
      <c r="C156" s="23"/>
      <c r="D156" s="24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8.75" customHeight="1" x14ac:dyDescent="0.2">
      <c r="A157" s="22"/>
      <c r="B157" s="16"/>
      <c r="C157" s="23"/>
      <c r="D157" s="24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8.75" customHeight="1" x14ac:dyDescent="0.2">
      <c r="A158" s="22"/>
      <c r="B158" s="16"/>
      <c r="C158" s="23"/>
      <c r="D158" s="24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8.75" customHeight="1" x14ac:dyDescent="0.2">
      <c r="A159" s="22"/>
      <c r="B159" s="16"/>
      <c r="C159" s="23"/>
      <c r="D159" s="24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8.75" customHeight="1" x14ac:dyDescent="0.2">
      <c r="A160" s="22"/>
      <c r="B160" s="16"/>
      <c r="C160" s="23"/>
      <c r="D160" s="24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8.75" customHeight="1" x14ac:dyDescent="0.2">
      <c r="A161" s="22"/>
      <c r="B161" s="16"/>
      <c r="C161" s="23"/>
      <c r="D161" s="24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8.75" customHeight="1" x14ac:dyDescent="0.2">
      <c r="A162" s="22"/>
      <c r="B162" s="16"/>
      <c r="C162" s="23"/>
      <c r="D162" s="24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8.75" customHeight="1" x14ac:dyDescent="0.2">
      <c r="A163" s="22"/>
      <c r="B163" s="16"/>
      <c r="C163" s="23"/>
      <c r="D163" s="24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8.75" customHeight="1" x14ac:dyDescent="0.2">
      <c r="A164" s="22"/>
      <c r="B164" s="16"/>
      <c r="C164" s="23"/>
      <c r="D164" s="24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8.75" customHeight="1" x14ac:dyDescent="0.2">
      <c r="A165" s="22"/>
      <c r="B165" s="16"/>
      <c r="C165" s="23"/>
      <c r="D165" s="24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8.75" customHeight="1" x14ac:dyDescent="0.2">
      <c r="A166" s="22"/>
      <c r="B166" s="16"/>
      <c r="C166" s="23"/>
      <c r="D166" s="24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8.75" customHeight="1" x14ac:dyDescent="0.2">
      <c r="A167" s="22"/>
      <c r="B167" s="16"/>
      <c r="C167" s="23"/>
      <c r="D167" s="24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8.75" customHeight="1" x14ac:dyDescent="0.2">
      <c r="A168" s="22"/>
      <c r="B168" s="16"/>
      <c r="C168" s="23"/>
      <c r="D168" s="24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8.75" customHeight="1" x14ac:dyDescent="0.2">
      <c r="A169" s="22"/>
      <c r="B169" s="16"/>
      <c r="C169" s="23"/>
      <c r="D169" s="24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8.75" customHeight="1" x14ac:dyDescent="0.2">
      <c r="A170" s="22"/>
      <c r="B170" s="16"/>
      <c r="C170" s="23"/>
      <c r="D170" s="24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8.75" customHeight="1" x14ac:dyDescent="0.2">
      <c r="A171" s="22"/>
      <c r="B171" s="16"/>
      <c r="C171" s="23"/>
      <c r="D171" s="24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8.75" customHeight="1" x14ac:dyDescent="0.2">
      <c r="A172" s="22"/>
      <c r="B172" s="16"/>
      <c r="C172" s="23"/>
      <c r="D172" s="24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8.75" customHeight="1" x14ac:dyDescent="0.2">
      <c r="A173" s="22"/>
      <c r="B173" s="16"/>
      <c r="C173" s="23"/>
      <c r="D173" s="24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8.75" customHeight="1" x14ac:dyDescent="0.2">
      <c r="A174" s="22"/>
      <c r="B174" s="16"/>
      <c r="C174" s="23"/>
      <c r="D174" s="2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8.75" customHeight="1" x14ac:dyDescent="0.2">
      <c r="A175" s="22"/>
      <c r="B175" s="16"/>
      <c r="C175" s="23"/>
      <c r="D175" s="24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8.75" customHeight="1" x14ac:dyDescent="0.2">
      <c r="A176" s="22"/>
      <c r="B176" s="16"/>
      <c r="C176" s="23"/>
      <c r="D176" s="24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8.75" customHeight="1" x14ac:dyDescent="0.2">
      <c r="A177" s="22"/>
      <c r="B177" s="16"/>
      <c r="C177" s="23"/>
      <c r="D177" s="24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8.75" customHeight="1" x14ac:dyDescent="0.2">
      <c r="A178" s="22"/>
      <c r="B178" s="16"/>
      <c r="C178" s="23"/>
      <c r="D178" s="24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8.75" customHeight="1" x14ac:dyDescent="0.2">
      <c r="A179" s="22"/>
      <c r="B179" s="16"/>
      <c r="C179" s="23"/>
      <c r="D179" s="24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8.75" customHeight="1" x14ac:dyDescent="0.2">
      <c r="A180" s="22"/>
      <c r="B180" s="16"/>
      <c r="C180" s="23"/>
      <c r="D180" s="24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8.75" customHeight="1" x14ac:dyDescent="0.2">
      <c r="A181" s="22"/>
      <c r="B181" s="16"/>
      <c r="C181" s="23"/>
      <c r="D181" s="24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8.75" customHeight="1" x14ac:dyDescent="0.2">
      <c r="A182" s="22"/>
      <c r="B182" s="16"/>
      <c r="C182" s="23"/>
      <c r="D182" s="24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8.75" customHeight="1" x14ac:dyDescent="0.2">
      <c r="A183" s="22"/>
      <c r="B183" s="16"/>
      <c r="C183" s="23"/>
      <c r="D183" s="2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8.75" customHeight="1" x14ac:dyDescent="0.2">
      <c r="A184" s="22"/>
      <c r="B184" s="16"/>
      <c r="C184" s="23"/>
      <c r="D184" s="24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8.75" customHeight="1" x14ac:dyDescent="0.2">
      <c r="A185" s="22"/>
      <c r="B185" s="16"/>
      <c r="C185" s="23"/>
      <c r="D185" s="24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8.75" customHeight="1" x14ac:dyDescent="0.2">
      <c r="A186" s="22"/>
      <c r="B186" s="16"/>
      <c r="C186" s="23"/>
      <c r="D186" s="24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8.75" customHeight="1" x14ac:dyDescent="0.2">
      <c r="A187" s="22"/>
      <c r="B187" s="16"/>
      <c r="C187" s="23"/>
      <c r="D187" s="24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8.75" customHeight="1" x14ac:dyDescent="0.2">
      <c r="A188" s="22"/>
      <c r="B188" s="16"/>
      <c r="C188" s="23"/>
      <c r="D188" s="24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8.75" customHeight="1" x14ac:dyDescent="0.2">
      <c r="A189" s="22"/>
      <c r="B189" s="16"/>
      <c r="C189" s="23"/>
      <c r="D189" s="24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8.75" customHeight="1" x14ac:dyDescent="0.2">
      <c r="A190" s="22"/>
      <c r="B190" s="16"/>
      <c r="C190" s="23"/>
      <c r="D190" s="2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8.75" customHeight="1" x14ac:dyDescent="0.2">
      <c r="A191" s="22"/>
      <c r="B191" s="16"/>
      <c r="C191" s="23"/>
      <c r="D191" s="2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8.75" customHeight="1" x14ac:dyDescent="0.2">
      <c r="A192" s="22"/>
      <c r="B192" s="16"/>
      <c r="C192" s="23"/>
      <c r="D192" s="2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8.75" customHeight="1" x14ac:dyDescent="0.2">
      <c r="A193" s="22"/>
      <c r="B193" s="16"/>
      <c r="C193" s="23"/>
      <c r="D193" s="24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8.75" customHeight="1" x14ac:dyDescent="0.2">
      <c r="A194" s="22"/>
      <c r="B194" s="16"/>
      <c r="C194" s="23"/>
      <c r="D194" s="24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8.75" customHeight="1" x14ac:dyDescent="0.2">
      <c r="A195" s="22"/>
      <c r="B195" s="16"/>
      <c r="C195" s="23"/>
      <c r="D195" s="24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8.75" customHeight="1" x14ac:dyDescent="0.2">
      <c r="A196" s="22"/>
      <c r="B196" s="16"/>
      <c r="C196" s="23"/>
      <c r="D196" s="2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8.75" customHeight="1" x14ac:dyDescent="0.2">
      <c r="A197" s="22"/>
      <c r="B197" s="16"/>
      <c r="C197" s="23"/>
      <c r="D197" s="24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8.75" customHeight="1" x14ac:dyDescent="0.2">
      <c r="A198" s="22"/>
      <c r="B198" s="16"/>
      <c r="C198" s="23"/>
      <c r="D198" s="24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8.75" customHeight="1" x14ac:dyDescent="0.2">
      <c r="A199" s="22"/>
      <c r="B199" s="16"/>
      <c r="C199" s="23"/>
      <c r="D199" s="2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8.75" customHeight="1" x14ac:dyDescent="0.2">
      <c r="A200" s="22"/>
      <c r="B200" s="16"/>
      <c r="C200" s="23"/>
      <c r="D200" s="2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8.75" customHeight="1" x14ac:dyDescent="0.2">
      <c r="A201" s="22"/>
      <c r="B201" s="16"/>
      <c r="C201" s="23"/>
      <c r="D201" s="2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8.75" customHeight="1" x14ac:dyDescent="0.2">
      <c r="A202" s="22"/>
      <c r="B202" s="16"/>
      <c r="C202" s="23"/>
      <c r="D202" s="24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8.75" customHeight="1" x14ac:dyDescent="0.2">
      <c r="A203" s="22"/>
      <c r="B203" s="16"/>
      <c r="C203" s="23"/>
      <c r="D203" s="24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8.75" customHeight="1" x14ac:dyDescent="0.2">
      <c r="A204" s="22"/>
      <c r="B204" s="16"/>
      <c r="C204" s="23"/>
      <c r="D204" s="2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8.75" customHeight="1" x14ac:dyDescent="0.2">
      <c r="A205" s="22"/>
      <c r="B205" s="16"/>
      <c r="C205" s="23"/>
      <c r="D205" s="2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8.75" customHeight="1" x14ac:dyDescent="0.2">
      <c r="A206" s="22"/>
      <c r="B206" s="16"/>
      <c r="C206" s="23"/>
      <c r="D206" s="2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8.75" customHeight="1" x14ac:dyDescent="0.2">
      <c r="A207" s="22"/>
      <c r="B207" s="16"/>
      <c r="C207" s="23"/>
      <c r="D207" s="2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8.75" customHeight="1" x14ac:dyDescent="0.2">
      <c r="A208" s="22"/>
      <c r="B208" s="16"/>
      <c r="C208" s="23"/>
      <c r="D208" s="2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8.75" customHeight="1" x14ac:dyDescent="0.2">
      <c r="A209" s="22"/>
      <c r="B209" s="16"/>
      <c r="C209" s="23"/>
      <c r="D209" s="2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8.75" customHeight="1" x14ac:dyDescent="0.2">
      <c r="A210" s="22"/>
      <c r="B210" s="16"/>
      <c r="C210" s="23"/>
      <c r="D210" s="24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8.75" customHeight="1" x14ac:dyDescent="0.2">
      <c r="A211" s="22"/>
      <c r="B211" s="16"/>
      <c r="C211" s="23"/>
      <c r="D211" s="24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8.75" customHeight="1" x14ac:dyDescent="0.2">
      <c r="A212" s="22"/>
      <c r="B212" s="16"/>
      <c r="C212" s="23"/>
      <c r="D212" s="2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8.75" customHeight="1" x14ac:dyDescent="0.2">
      <c r="A213" s="22"/>
      <c r="B213" s="16"/>
      <c r="C213" s="23"/>
      <c r="D213" s="2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8.75" customHeight="1" x14ac:dyDescent="0.2">
      <c r="A214" s="22"/>
      <c r="B214" s="16"/>
      <c r="C214" s="23"/>
      <c r="D214" s="2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8.75" customHeight="1" x14ac:dyDescent="0.2">
      <c r="A215" s="22"/>
      <c r="B215" s="16"/>
      <c r="C215" s="23"/>
      <c r="D215" s="2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8.75" customHeight="1" x14ac:dyDescent="0.2">
      <c r="A216" s="22"/>
      <c r="B216" s="16"/>
      <c r="C216" s="23"/>
      <c r="D216" s="2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8.75" customHeight="1" x14ac:dyDescent="0.2">
      <c r="A217" s="22"/>
      <c r="B217" s="16"/>
      <c r="C217" s="23"/>
      <c r="D217" s="24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8.75" customHeight="1" x14ac:dyDescent="0.2">
      <c r="A218" s="22"/>
      <c r="B218" s="16"/>
      <c r="C218" s="23"/>
      <c r="D218" s="24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8.75" customHeight="1" x14ac:dyDescent="0.2">
      <c r="A219" s="22"/>
      <c r="B219" s="16"/>
      <c r="C219" s="23"/>
      <c r="D219" s="24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8.75" customHeight="1" x14ac:dyDescent="0.2">
      <c r="A220" s="22"/>
      <c r="B220" s="16"/>
      <c r="C220" s="23"/>
      <c r="D220" s="24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8.75" customHeight="1" x14ac:dyDescent="0.2">
      <c r="A221" s="22"/>
      <c r="B221" s="16"/>
      <c r="C221" s="23"/>
      <c r="D221" s="24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8.75" customHeight="1" x14ac:dyDescent="0.2">
      <c r="A222" s="22"/>
      <c r="B222" s="16"/>
      <c r="C222" s="23"/>
      <c r="D222" s="24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8.75" customHeight="1" x14ac:dyDescent="0.2">
      <c r="A223" s="22"/>
      <c r="B223" s="16"/>
      <c r="C223" s="23"/>
      <c r="D223" s="24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8.75" customHeight="1" x14ac:dyDescent="0.2">
      <c r="A224" s="22"/>
      <c r="B224" s="16"/>
      <c r="C224" s="23"/>
      <c r="D224" s="24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8.75" customHeight="1" x14ac:dyDescent="0.2">
      <c r="A225" s="22"/>
      <c r="B225" s="16"/>
      <c r="C225" s="23"/>
      <c r="D225" s="24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8.75" customHeight="1" x14ac:dyDescent="0.2">
      <c r="A226" s="22"/>
      <c r="B226" s="16"/>
      <c r="C226" s="23"/>
      <c r="D226" s="24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8.75" customHeight="1" x14ac:dyDescent="0.2">
      <c r="A227" s="22"/>
      <c r="B227" s="16"/>
      <c r="C227" s="23"/>
      <c r="D227" s="24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8.75" customHeight="1" x14ac:dyDescent="0.2">
      <c r="A228" s="22"/>
      <c r="B228" s="16"/>
      <c r="C228" s="23"/>
      <c r="D228" s="24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8.75" customHeight="1" x14ac:dyDescent="0.2">
      <c r="A229" s="22"/>
      <c r="B229" s="16"/>
      <c r="C229" s="23"/>
      <c r="D229" s="24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8.75" customHeight="1" x14ac:dyDescent="0.2">
      <c r="A230" s="22"/>
      <c r="B230" s="16"/>
      <c r="C230" s="23"/>
      <c r="D230" s="24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8.75" customHeight="1" x14ac:dyDescent="0.2">
      <c r="A231" s="22"/>
      <c r="B231" s="16"/>
      <c r="C231" s="23"/>
      <c r="D231" s="24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8.75" customHeight="1" x14ac:dyDescent="0.2">
      <c r="A232" s="22"/>
      <c r="B232" s="16"/>
      <c r="C232" s="23"/>
      <c r="D232" s="24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8.75" customHeight="1" x14ac:dyDescent="0.2">
      <c r="A233" s="22"/>
      <c r="B233" s="16"/>
      <c r="C233" s="23"/>
      <c r="D233" s="24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8.75" customHeight="1" x14ac:dyDescent="0.2">
      <c r="A234" s="22"/>
      <c r="B234" s="16"/>
      <c r="C234" s="23"/>
      <c r="D234" s="24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8.75" customHeight="1" x14ac:dyDescent="0.2">
      <c r="A235" s="22"/>
      <c r="B235" s="16"/>
      <c r="C235" s="23"/>
      <c r="D235" s="24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8.75" customHeight="1" x14ac:dyDescent="0.2">
      <c r="A236" s="22"/>
      <c r="B236" s="16"/>
      <c r="C236" s="23"/>
      <c r="D236" s="24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8.75" customHeight="1" x14ac:dyDescent="0.2">
      <c r="A237" s="22"/>
      <c r="B237" s="16"/>
      <c r="C237" s="23"/>
      <c r="D237" s="24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8.75" customHeight="1" x14ac:dyDescent="0.2">
      <c r="A238" s="22"/>
      <c r="B238" s="16"/>
      <c r="C238" s="23"/>
      <c r="D238" s="24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8.75" customHeight="1" x14ac:dyDescent="0.2">
      <c r="A239" s="22"/>
      <c r="B239" s="16"/>
      <c r="C239" s="23"/>
      <c r="D239" s="24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8.75" customHeight="1" x14ac:dyDescent="0.2">
      <c r="A240" s="22"/>
      <c r="B240" s="16"/>
      <c r="C240" s="23"/>
      <c r="D240" s="24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8.75" customHeight="1" x14ac:dyDescent="0.2">
      <c r="A241" s="22"/>
      <c r="B241" s="16"/>
      <c r="C241" s="23"/>
      <c r="D241" s="24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8.75" customHeight="1" x14ac:dyDescent="0.2">
      <c r="A242" s="22"/>
      <c r="B242" s="16"/>
      <c r="C242" s="23"/>
      <c r="D242" s="24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8.75" customHeight="1" x14ac:dyDescent="0.2">
      <c r="A243" s="22"/>
      <c r="B243" s="16"/>
      <c r="C243" s="23"/>
      <c r="D243" s="24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8.75" customHeight="1" x14ac:dyDescent="0.2">
      <c r="A244" s="22"/>
      <c r="B244" s="16"/>
      <c r="C244" s="23"/>
      <c r="D244" s="24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8.75" customHeight="1" x14ac:dyDescent="0.2">
      <c r="A245" s="22"/>
      <c r="B245" s="16"/>
      <c r="C245" s="23"/>
      <c r="D245" s="24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8.75" customHeight="1" x14ac:dyDescent="0.2">
      <c r="A246" s="22"/>
      <c r="B246" s="16"/>
      <c r="C246" s="23"/>
      <c r="D246" s="24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8.75" customHeight="1" x14ac:dyDescent="0.2">
      <c r="A247" s="22"/>
      <c r="B247" s="16"/>
      <c r="C247" s="23"/>
      <c r="D247" s="24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8.75" customHeight="1" x14ac:dyDescent="0.2">
      <c r="A248" s="22"/>
      <c r="B248" s="16"/>
      <c r="C248" s="23"/>
      <c r="D248" s="24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8.75" customHeight="1" x14ac:dyDescent="0.2">
      <c r="A249" s="22"/>
      <c r="B249" s="16"/>
      <c r="C249" s="23"/>
      <c r="D249" s="24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8.75" customHeight="1" x14ac:dyDescent="0.2">
      <c r="A250" s="22"/>
      <c r="B250" s="16"/>
      <c r="C250" s="23"/>
      <c r="D250" s="24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8.75" customHeight="1" x14ac:dyDescent="0.2">
      <c r="A251" s="22"/>
      <c r="B251" s="16"/>
      <c r="C251" s="23"/>
      <c r="D251" s="24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8.75" customHeight="1" x14ac:dyDescent="0.2">
      <c r="A252" s="22"/>
      <c r="B252" s="16"/>
      <c r="C252" s="23"/>
      <c r="D252" s="24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8.75" customHeight="1" x14ac:dyDescent="0.2">
      <c r="A253" s="22"/>
      <c r="B253" s="16"/>
      <c r="C253" s="23"/>
      <c r="D253" s="24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8.75" customHeight="1" x14ac:dyDescent="0.2">
      <c r="A254" s="22"/>
      <c r="B254" s="16"/>
      <c r="C254" s="23"/>
      <c r="D254" s="24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8.75" customHeight="1" x14ac:dyDescent="0.2">
      <c r="A255" s="22"/>
      <c r="B255" s="16"/>
      <c r="C255" s="23"/>
      <c r="D255" s="24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8.75" customHeight="1" x14ac:dyDescent="0.2">
      <c r="A256" s="22"/>
      <c r="B256" s="16"/>
      <c r="C256" s="23"/>
      <c r="D256" s="24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8.75" customHeight="1" x14ac:dyDescent="0.2">
      <c r="A257" s="22"/>
      <c r="B257" s="16"/>
      <c r="C257" s="23"/>
      <c r="D257" s="24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8.75" customHeight="1" x14ac:dyDescent="0.2">
      <c r="A258" s="22"/>
      <c r="B258" s="16"/>
      <c r="C258" s="23"/>
      <c r="D258" s="24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8.75" customHeight="1" x14ac:dyDescent="0.2">
      <c r="A259" s="22"/>
      <c r="B259" s="16"/>
      <c r="C259" s="23"/>
      <c r="D259" s="24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8.75" customHeight="1" x14ac:dyDescent="0.2">
      <c r="A260" s="22"/>
      <c r="B260" s="16"/>
      <c r="C260" s="23"/>
      <c r="D260" s="24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8.75" customHeight="1" x14ac:dyDescent="0.2">
      <c r="A261" s="22"/>
      <c r="B261" s="16"/>
      <c r="C261" s="23"/>
      <c r="D261" s="24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8.75" customHeight="1" x14ac:dyDescent="0.2">
      <c r="A262" s="22"/>
      <c r="B262" s="16"/>
      <c r="C262" s="23"/>
      <c r="D262" s="24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8.75" customHeight="1" x14ac:dyDescent="0.2">
      <c r="A263" s="22"/>
      <c r="B263" s="16"/>
      <c r="C263" s="23"/>
      <c r="D263" s="24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8.75" customHeight="1" x14ac:dyDescent="0.2">
      <c r="A264" s="22"/>
      <c r="B264" s="16"/>
      <c r="C264" s="23"/>
      <c r="D264" s="2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8.75" customHeight="1" x14ac:dyDescent="0.2">
      <c r="A265" s="22"/>
      <c r="B265" s="16"/>
      <c r="C265" s="23"/>
      <c r="D265" s="2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8.75" customHeight="1" x14ac:dyDescent="0.2">
      <c r="A266" s="22"/>
      <c r="B266" s="16"/>
      <c r="C266" s="23"/>
      <c r="D266" s="2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8.75" customHeight="1" x14ac:dyDescent="0.2">
      <c r="A267" s="22"/>
      <c r="B267" s="16"/>
      <c r="C267" s="23"/>
      <c r="D267" s="24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8.75" customHeight="1" x14ac:dyDescent="0.2">
      <c r="A268" s="22"/>
      <c r="B268" s="16"/>
      <c r="C268" s="23"/>
      <c r="D268" s="24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8.75" customHeight="1" x14ac:dyDescent="0.2">
      <c r="A269" s="22"/>
      <c r="B269" s="16"/>
      <c r="C269" s="23"/>
      <c r="D269" s="24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8.75" customHeight="1" x14ac:dyDescent="0.2">
      <c r="A270" s="22"/>
      <c r="B270" s="16"/>
      <c r="C270" s="23"/>
      <c r="D270" s="24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8.75" customHeight="1" x14ac:dyDescent="0.2">
      <c r="A271" s="22"/>
      <c r="B271" s="16"/>
      <c r="C271" s="23"/>
      <c r="D271" s="24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8.75" customHeight="1" x14ac:dyDescent="0.2">
      <c r="A272" s="22"/>
      <c r="B272" s="16"/>
      <c r="C272" s="23"/>
      <c r="D272" s="24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8.75" customHeight="1" x14ac:dyDescent="0.2">
      <c r="A273" s="22"/>
      <c r="B273" s="16"/>
      <c r="C273" s="23"/>
      <c r="D273" s="24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8.75" customHeight="1" x14ac:dyDescent="0.2">
      <c r="A274" s="22"/>
      <c r="B274" s="16"/>
      <c r="C274" s="23"/>
      <c r="D274" s="24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8.75" customHeight="1" x14ac:dyDescent="0.2">
      <c r="A275" s="22"/>
      <c r="B275" s="16"/>
      <c r="C275" s="23"/>
      <c r="D275" s="24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8.75" customHeight="1" x14ac:dyDescent="0.2">
      <c r="A276" s="22"/>
      <c r="B276" s="16"/>
      <c r="C276" s="23"/>
      <c r="D276" s="2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8.75" customHeight="1" x14ac:dyDescent="0.2">
      <c r="A277" s="22"/>
      <c r="B277" s="16"/>
      <c r="C277" s="23"/>
      <c r="D277" s="24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8.75" customHeight="1" x14ac:dyDescent="0.2">
      <c r="A278" s="22"/>
      <c r="B278" s="16"/>
      <c r="C278" s="23"/>
      <c r="D278" s="24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8.75" customHeight="1" x14ac:dyDescent="0.2">
      <c r="A279" s="22"/>
      <c r="B279" s="16"/>
      <c r="C279" s="23"/>
      <c r="D279" s="24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8.75" customHeight="1" x14ac:dyDescent="0.2">
      <c r="A280" s="22"/>
      <c r="B280" s="16"/>
      <c r="C280" s="23"/>
      <c r="D280" s="24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8.75" customHeight="1" x14ac:dyDescent="0.2">
      <c r="A281" s="22"/>
      <c r="B281" s="16"/>
      <c r="C281" s="23"/>
      <c r="D281" s="24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8.75" customHeight="1" x14ac:dyDescent="0.2">
      <c r="A282" s="22"/>
      <c r="B282" s="16"/>
      <c r="C282" s="23"/>
      <c r="D282" s="24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8.75" customHeight="1" x14ac:dyDescent="0.2">
      <c r="A283" s="22"/>
      <c r="B283" s="16"/>
      <c r="C283" s="23"/>
      <c r="D283" s="24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8.75" customHeight="1" x14ac:dyDescent="0.2">
      <c r="A284" s="22"/>
      <c r="B284" s="16"/>
      <c r="C284" s="23"/>
      <c r="D284" s="24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8.75" customHeight="1" x14ac:dyDescent="0.2">
      <c r="A285" s="22"/>
      <c r="B285" s="16"/>
      <c r="C285" s="23"/>
      <c r="D285" s="24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8.75" customHeight="1" x14ac:dyDescent="0.2">
      <c r="A286" s="22"/>
      <c r="B286" s="16"/>
      <c r="C286" s="23"/>
      <c r="D286" s="24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8.75" customHeight="1" x14ac:dyDescent="0.2">
      <c r="A287" s="22"/>
      <c r="B287" s="16"/>
      <c r="C287" s="23"/>
      <c r="D287" s="24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8.75" customHeight="1" x14ac:dyDescent="0.2">
      <c r="A288" s="22"/>
      <c r="B288" s="16"/>
      <c r="C288" s="23"/>
      <c r="D288" s="24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8.75" customHeight="1" x14ac:dyDescent="0.2">
      <c r="A289" s="22"/>
      <c r="B289" s="16"/>
      <c r="C289" s="23"/>
      <c r="D289" s="24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8.75" customHeight="1" x14ac:dyDescent="0.2">
      <c r="A290" s="22"/>
      <c r="B290" s="16"/>
      <c r="C290" s="23"/>
      <c r="D290" s="24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8.75" customHeight="1" x14ac:dyDescent="0.2">
      <c r="A291" s="22"/>
      <c r="B291" s="16"/>
      <c r="C291" s="23"/>
      <c r="D291" s="24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8.75" customHeight="1" x14ac:dyDescent="0.2">
      <c r="A292" s="22"/>
      <c r="B292" s="16"/>
      <c r="C292" s="23"/>
      <c r="D292" s="24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8.75" customHeight="1" x14ac:dyDescent="0.2">
      <c r="A293" s="22"/>
      <c r="B293" s="16"/>
      <c r="C293" s="23"/>
      <c r="D293" s="24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8.75" customHeight="1" x14ac:dyDescent="0.2">
      <c r="A294" s="22"/>
      <c r="B294" s="16"/>
      <c r="C294" s="23"/>
      <c r="D294" s="24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8.75" customHeight="1" x14ac:dyDescent="0.2">
      <c r="A295" s="22"/>
      <c r="B295" s="16"/>
      <c r="C295" s="23"/>
      <c r="D295" s="24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8.75" customHeight="1" x14ac:dyDescent="0.2">
      <c r="A296" s="22"/>
      <c r="B296" s="16"/>
      <c r="C296" s="23"/>
      <c r="D296" s="24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8.75" customHeight="1" x14ac:dyDescent="0.2">
      <c r="A297" s="22"/>
      <c r="B297" s="16"/>
      <c r="C297" s="23"/>
      <c r="D297" s="24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8.75" customHeight="1" x14ac:dyDescent="0.2">
      <c r="A298" s="22"/>
      <c r="B298" s="16"/>
      <c r="C298" s="23"/>
      <c r="D298" s="24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8.75" customHeight="1" x14ac:dyDescent="0.2">
      <c r="A299" s="22"/>
      <c r="B299" s="16"/>
      <c r="C299" s="23"/>
      <c r="D299" s="24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8.75" customHeight="1" x14ac:dyDescent="0.2">
      <c r="A300" s="22"/>
      <c r="B300" s="16"/>
      <c r="C300" s="23"/>
      <c r="D300" s="24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8.75" customHeight="1" x14ac:dyDescent="0.2">
      <c r="A301" s="22"/>
      <c r="B301" s="16"/>
      <c r="C301" s="23"/>
      <c r="D301" s="24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8.75" customHeight="1" x14ac:dyDescent="0.2">
      <c r="A302" s="22"/>
      <c r="B302" s="16"/>
      <c r="C302" s="23"/>
      <c r="D302" s="24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8.75" customHeight="1" x14ac:dyDescent="0.2">
      <c r="A303" s="22"/>
      <c r="B303" s="16"/>
      <c r="C303" s="23"/>
      <c r="D303" s="24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8.75" customHeight="1" x14ac:dyDescent="0.2">
      <c r="A304" s="22"/>
      <c r="B304" s="16"/>
      <c r="C304" s="23"/>
      <c r="D304" s="24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8.75" customHeight="1" x14ac:dyDescent="0.2">
      <c r="A305" s="22"/>
      <c r="B305" s="16"/>
      <c r="C305" s="23"/>
      <c r="D305" s="24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8.75" customHeight="1" x14ac:dyDescent="0.2">
      <c r="A306" s="22"/>
      <c r="B306" s="16"/>
      <c r="C306" s="23"/>
      <c r="D306" s="24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8.75" customHeight="1" x14ac:dyDescent="0.2">
      <c r="A307" s="22"/>
      <c r="B307" s="16"/>
      <c r="C307" s="23"/>
      <c r="D307" s="2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8.75" customHeight="1" x14ac:dyDescent="0.2">
      <c r="A308" s="22"/>
      <c r="B308" s="16"/>
      <c r="C308" s="23"/>
      <c r="D308" s="24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8.75" customHeight="1" x14ac:dyDescent="0.2">
      <c r="A309" s="22"/>
      <c r="B309" s="16"/>
      <c r="C309" s="23"/>
      <c r="D309" s="24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8.75" customHeight="1" x14ac:dyDescent="0.2">
      <c r="A310" s="22"/>
      <c r="B310" s="16"/>
      <c r="C310" s="23"/>
      <c r="D310" s="24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8.75" customHeight="1" x14ac:dyDescent="0.2">
      <c r="A311" s="22"/>
      <c r="B311" s="16"/>
      <c r="C311" s="23"/>
      <c r="D311" s="2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8.75" customHeight="1" x14ac:dyDescent="0.2">
      <c r="A312" s="22"/>
      <c r="B312" s="16"/>
      <c r="C312" s="23"/>
      <c r="D312" s="2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8.75" customHeight="1" x14ac:dyDescent="0.2">
      <c r="A313" s="22"/>
      <c r="B313" s="16"/>
      <c r="C313" s="23"/>
      <c r="D313" s="2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8.75" customHeight="1" x14ac:dyDescent="0.2">
      <c r="A314" s="22"/>
      <c r="B314" s="16"/>
      <c r="C314" s="23"/>
      <c r="D314" s="2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8.75" customHeight="1" x14ac:dyDescent="0.2">
      <c r="A315" s="22"/>
      <c r="B315" s="16"/>
      <c r="C315" s="23"/>
      <c r="D315" s="2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8.75" customHeight="1" x14ac:dyDescent="0.2">
      <c r="A316" s="22"/>
      <c r="B316" s="16"/>
      <c r="C316" s="23"/>
      <c r="D316" s="2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8.75" customHeight="1" x14ac:dyDescent="0.2">
      <c r="A317" s="22"/>
      <c r="B317" s="16"/>
      <c r="C317" s="23"/>
      <c r="D317" s="2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8.75" customHeight="1" x14ac:dyDescent="0.2">
      <c r="A318" s="22"/>
      <c r="B318" s="16"/>
      <c r="C318" s="23"/>
      <c r="D318" s="2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8.75" customHeight="1" x14ac:dyDescent="0.2">
      <c r="A319" s="22"/>
      <c r="B319" s="16"/>
      <c r="C319" s="23"/>
      <c r="D319" s="2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8.75" customHeight="1" x14ac:dyDescent="0.2">
      <c r="A320" s="22"/>
      <c r="B320" s="16"/>
      <c r="C320" s="23"/>
      <c r="D320" s="2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8.75" customHeight="1" x14ac:dyDescent="0.2">
      <c r="A321" s="22"/>
      <c r="B321" s="16"/>
      <c r="C321" s="23"/>
      <c r="D321" s="2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8.75" customHeight="1" x14ac:dyDescent="0.2">
      <c r="A322" s="22"/>
      <c r="B322" s="16"/>
      <c r="C322" s="23"/>
      <c r="D322" s="2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8.75" customHeight="1" x14ac:dyDescent="0.2">
      <c r="A323" s="22"/>
      <c r="B323" s="16"/>
      <c r="C323" s="23"/>
      <c r="D323" s="2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8.75" customHeight="1" x14ac:dyDescent="0.2">
      <c r="A324" s="22"/>
      <c r="B324" s="16"/>
      <c r="C324" s="23"/>
      <c r="D324" s="2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8.75" customHeight="1" x14ac:dyDescent="0.2">
      <c r="A325" s="22"/>
      <c r="B325" s="16"/>
      <c r="C325" s="23"/>
      <c r="D325" s="2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8.75" customHeight="1" x14ac:dyDescent="0.2">
      <c r="A326" s="22"/>
      <c r="B326" s="16"/>
      <c r="C326" s="23"/>
      <c r="D326" s="2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8.75" customHeight="1" x14ac:dyDescent="0.2">
      <c r="A327" s="22"/>
      <c r="B327" s="16"/>
      <c r="C327" s="23"/>
      <c r="D327" s="2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8.75" customHeight="1" x14ac:dyDescent="0.2">
      <c r="A328" s="22"/>
      <c r="B328" s="16"/>
      <c r="C328" s="23"/>
      <c r="D328" s="2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8.75" customHeight="1" x14ac:dyDescent="0.2">
      <c r="A329" s="22"/>
      <c r="B329" s="16"/>
      <c r="C329" s="23"/>
      <c r="D329" s="2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8.75" customHeight="1" x14ac:dyDescent="0.2">
      <c r="A330" s="22"/>
      <c r="B330" s="16"/>
      <c r="C330" s="23"/>
      <c r="D330" s="2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8.75" customHeight="1" x14ac:dyDescent="0.2">
      <c r="A331" s="22"/>
      <c r="B331" s="16"/>
      <c r="C331" s="23"/>
      <c r="D331" s="2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8.75" customHeight="1" x14ac:dyDescent="0.2">
      <c r="A332" s="22"/>
      <c r="B332" s="16"/>
      <c r="C332" s="23"/>
      <c r="D332" s="2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8.75" customHeight="1" x14ac:dyDescent="0.2">
      <c r="A333" s="22"/>
      <c r="B333" s="16"/>
      <c r="C333" s="23"/>
      <c r="D333" s="2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8.75" customHeight="1" x14ac:dyDescent="0.2">
      <c r="A334" s="22"/>
      <c r="B334" s="16"/>
      <c r="C334" s="23"/>
      <c r="D334" s="2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8.75" customHeight="1" x14ac:dyDescent="0.2">
      <c r="A335" s="22"/>
      <c r="B335" s="16"/>
      <c r="C335" s="23"/>
      <c r="D335" s="2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8.75" customHeight="1" x14ac:dyDescent="0.2">
      <c r="A336" s="22"/>
      <c r="B336" s="16"/>
      <c r="C336" s="23"/>
      <c r="D336" s="2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8.75" customHeight="1" x14ac:dyDescent="0.2">
      <c r="A337" s="22"/>
      <c r="B337" s="16"/>
      <c r="C337" s="23"/>
      <c r="D337" s="2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8.75" customHeight="1" x14ac:dyDescent="0.2">
      <c r="A338" s="22"/>
      <c r="B338" s="16"/>
      <c r="C338" s="23"/>
      <c r="D338" s="2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8.75" customHeight="1" x14ac:dyDescent="0.2">
      <c r="A339" s="22"/>
      <c r="B339" s="16"/>
      <c r="C339" s="23"/>
      <c r="D339" s="2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8.75" customHeight="1" x14ac:dyDescent="0.2">
      <c r="A340" s="22"/>
      <c r="B340" s="16"/>
      <c r="C340" s="23"/>
      <c r="D340" s="2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8.75" customHeight="1" x14ac:dyDescent="0.2">
      <c r="A341" s="22"/>
      <c r="B341" s="16"/>
      <c r="C341" s="23"/>
      <c r="D341" s="2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8.75" customHeight="1" x14ac:dyDescent="0.2">
      <c r="A342" s="22"/>
      <c r="B342" s="16"/>
      <c r="C342" s="23"/>
      <c r="D342" s="2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8.75" customHeight="1" x14ac:dyDescent="0.2">
      <c r="A343" s="22"/>
      <c r="B343" s="16"/>
      <c r="C343" s="23"/>
      <c r="D343" s="2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8.75" customHeight="1" x14ac:dyDescent="0.2">
      <c r="A344" s="22"/>
      <c r="B344" s="16"/>
      <c r="C344" s="23"/>
      <c r="D344" s="2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8.75" customHeight="1" x14ac:dyDescent="0.2">
      <c r="A345" s="22"/>
      <c r="B345" s="16"/>
      <c r="C345" s="23"/>
      <c r="D345" s="2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8.75" customHeight="1" x14ac:dyDescent="0.2">
      <c r="A346" s="22"/>
      <c r="B346" s="16"/>
      <c r="C346" s="23"/>
      <c r="D346" s="2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8.75" customHeight="1" x14ac:dyDescent="0.2">
      <c r="A347" s="22"/>
      <c r="B347" s="16"/>
      <c r="C347" s="23"/>
      <c r="D347" s="2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8.75" customHeight="1" x14ac:dyDescent="0.2">
      <c r="A348" s="22"/>
      <c r="B348" s="16"/>
      <c r="C348" s="23"/>
      <c r="D348" s="2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8.75" customHeight="1" x14ac:dyDescent="0.2">
      <c r="A349" s="22"/>
      <c r="B349" s="16"/>
      <c r="C349" s="23"/>
      <c r="D349" s="2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8.75" customHeight="1" x14ac:dyDescent="0.2">
      <c r="A350" s="22"/>
      <c r="B350" s="16"/>
      <c r="C350" s="23"/>
      <c r="D350" s="2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8.75" customHeight="1" x14ac:dyDescent="0.2">
      <c r="A351" s="22"/>
      <c r="B351" s="16"/>
      <c r="C351" s="23"/>
      <c r="D351" s="2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8.75" customHeight="1" x14ac:dyDescent="0.2">
      <c r="A352" s="22"/>
      <c r="B352" s="16"/>
      <c r="C352" s="23"/>
      <c r="D352" s="2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8.75" customHeight="1" x14ac:dyDescent="0.2">
      <c r="A353" s="22"/>
      <c r="B353" s="16"/>
      <c r="C353" s="23"/>
      <c r="D353" s="2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8.75" customHeight="1" x14ac:dyDescent="0.2">
      <c r="A354" s="22"/>
      <c r="B354" s="16"/>
      <c r="C354" s="23"/>
      <c r="D354" s="2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8.75" customHeight="1" x14ac:dyDescent="0.2">
      <c r="A355" s="22"/>
      <c r="B355" s="16"/>
      <c r="C355" s="23"/>
      <c r="D355" s="2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8.75" customHeight="1" x14ac:dyDescent="0.2">
      <c r="A356" s="22"/>
      <c r="B356" s="16"/>
      <c r="C356" s="23"/>
      <c r="D356" s="2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8.75" customHeight="1" x14ac:dyDescent="0.2">
      <c r="A357" s="22"/>
      <c r="B357" s="16"/>
      <c r="C357" s="23"/>
      <c r="D357" s="2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8.75" customHeight="1" x14ac:dyDescent="0.2">
      <c r="A358" s="22"/>
      <c r="B358" s="16"/>
      <c r="C358" s="23"/>
      <c r="D358" s="2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8.75" customHeight="1" x14ac:dyDescent="0.2">
      <c r="A359" s="22"/>
      <c r="B359" s="16"/>
      <c r="C359" s="23"/>
      <c r="D359" s="2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8.75" customHeight="1" x14ac:dyDescent="0.2">
      <c r="A360" s="22"/>
      <c r="B360" s="16"/>
      <c r="C360" s="23"/>
      <c r="D360" s="2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8.75" customHeight="1" x14ac:dyDescent="0.2">
      <c r="A361" s="22"/>
      <c r="B361" s="16"/>
      <c r="C361" s="23"/>
      <c r="D361" s="2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8.75" customHeight="1" x14ac:dyDescent="0.2">
      <c r="A362" s="22"/>
      <c r="B362" s="16"/>
      <c r="C362" s="23"/>
      <c r="D362" s="2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8.75" customHeight="1" x14ac:dyDescent="0.2">
      <c r="A363" s="22"/>
      <c r="B363" s="16"/>
      <c r="C363" s="23"/>
      <c r="D363" s="2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8.75" customHeight="1" x14ac:dyDescent="0.2">
      <c r="A364" s="22"/>
      <c r="B364" s="16"/>
      <c r="C364" s="23"/>
      <c r="D364" s="2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8.75" customHeight="1" x14ac:dyDescent="0.2">
      <c r="A365" s="22"/>
      <c r="B365" s="16"/>
      <c r="C365" s="23"/>
      <c r="D365" s="2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8.75" customHeight="1" x14ac:dyDescent="0.2">
      <c r="A366" s="22"/>
      <c r="B366" s="16"/>
      <c r="C366" s="23"/>
      <c r="D366" s="2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8.75" customHeight="1" x14ac:dyDescent="0.2">
      <c r="A367" s="22"/>
      <c r="B367" s="16"/>
      <c r="C367" s="23"/>
      <c r="D367" s="2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8.75" customHeight="1" x14ac:dyDescent="0.2">
      <c r="A368" s="22"/>
      <c r="B368" s="16"/>
      <c r="C368" s="23"/>
      <c r="D368" s="2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8.75" customHeight="1" x14ac:dyDescent="0.2">
      <c r="A369" s="22"/>
      <c r="B369" s="16"/>
      <c r="C369" s="23"/>
      <c r="D369" s="2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8.75" customHeight="1" x14ac:dyDescent="0.2">
      <c r="A370" s="22"/>
      <c r="B370" s="16"/>
      <c r="C370" s="23"/>
      <c r="D370" s="2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8.75" customHeight="1" x14ac:dyDescent="0.2">
      <c r="A371" s="22"/>
      <c r="B371" s="16"/>
      <c r="C371" s="23"/>
      <c r="D371" s="2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8.75" customHeight="1" x14ac:dyDescent="0.2">
      <c r="A372" s="22"/>
      <c r="B372" s="16"/>
      <c r="C372" s="23"/>
      <c r="D372" s="2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8.75" customHeight="1" x14ac:dyDescent="0.2">
      <c r="A373" s="22"/>
      <c r="B373" s="16"/>
      <c r="C373" s="23"/>
      <c r="D373" s="2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8.75" customHeight="1" x14ac:dyDescent="0.2">
      <c r="A374" s="22"/>
      <c r="B374" s="16"/>
      <c r="C374" s="23"/>
      <c r="D374" s="2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8.75" customHeight="1" x14ac:dyDescent="0.2">
      <c r="A375" s="22"/>
      <c r="B375" s="16"/>
      <c r="C375" s="23"/>
      <c r="D375" s="2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8.75" customHeight="1" x14ac:dyDescent="0.2">
      <c r="A376" s="22"/>
      <c r="B376" s="16"/>
      <c r="C376" s="23"/>
      <c r="D376" s="2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8.75" customHeight="1" x14ac:dyDescent="0.2">
      <c r="A377" s="22"/>
      <c r="B377" s="16"/>
      <c r="C377" s="23"/>
      <c r="D377" s="2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8.75" customHeight="1" x14ac:dyDescent="0.2">
      <c r="A378" s="22"/>
      <c r="B378" s="16"/>
      <c r="C378" s="23"/>
      <c r="D378" s="2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8.75" customHeight="1" x14ac:dyDescent="0.2">
      <c r="A379" s="22"/>
      <c r="B379" s="16"/>
      <c r="C379" s="23"/>
      <c r="D379" s="2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8.75" customHeight="1" x14ac:dyDescent="0.2">
      <c r="A380" s="22"/>
      <c r="B380" s="16"/>
      <c r="C380" s="23"/>
      <c r="D380" s="2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8.75" customHeight="1" x14ac:dyDescent="0.2">
      <c r="A381" s="22"/>
      <c r="B381" s="16"/>
      <c r="C381" s="23"/>
      <c r="D381" s="2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8.75" customHeight="1" x14ac:dyDescent="0.2">
      <c r="A382" s="22"/>
      <c r="B382" s="16"/>
      <c r="C382" s="23"/>
      <c r="D382" s="2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8.75" customHeight="1" x14ac:dyDescent="0.2">
      <c r="A383" s="22"/>
      <c r="B383" s="16"/>
      <c r="C383" s="23"/>
      <c r="D383" s="2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8.75" customHeight="1" x14ac:dyDescent="0.2">
      <c r="A384" s="22"/>
      <c r="B384" s="16"/>
      <c r="C384" s="23"/>
      <c r="D384" s="2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8.75" customHeight="1" x14ac:dyDescent="0.2">
      <c r="A385" s="22"/>
      <c r="B385" s="16"/>
      <c r="C385" s="23"/>
      <c r="D385" s="2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8.75" customHeight="1" x14ac:dyDescent="0.2">
      <c r="A386" s="22"/>
      <c r="B386" s="16"/>
      <c r="C386" s="23"/>
      <c r="D386" s="2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8.75" customHeight="1" x14ac:dyDescent="0.2">
      <c r="A387" s="22"/>
      <c r="B387" s="16"/>
      <c r="C387" s="23"/>
      <c r="D387" s="2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8.75" customHeight="1" x14ac:dyDescent="0.2">
      <c r="A388" s="22"/>
      <c r="B388" s="16"/>
      <c r="C388" s="23"/>
      <c r="D388" s="2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8.75" customHeight="1" x14ac:dyDescent="0.2">
      <c r="A389" s="22"/>
      <c r="B389" s="16"/>
      <c r="C389" s="23"/>
      <c r="D389" s="2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8.75" customHeight="1" x14ac:dyDescent="0.2">
      <c r="A390" s="22"/>
      <c r="B390" s="16"/>
      <c r="C390" s="23"/>
      <c r="D390" s="2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8.75" customHeight="1" x14ac:dyDescent="0.2">
      <c r="A391" s="22"/>
      <c r="B391" s="16"/>
      <c r="C391" s="23"/>
      <c r="D391" s="2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8.75" customHeight="1" x14ac:dyDescent="0.2">
      <c r="A392" s="22"/>
      <c r="B392" s="16"/>
      <c r="C392" s="23"/>
      <c r="D392" s="2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8.75" customHeight="1" x14ac:dyDescent="0.2">
      <c r="A393" s="22"/>
      <c r="B393" s="16"/>
      <c r="C393" s="23"/>
      <c r="D393" s="2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8.75" customHeight="1" x14ac:dyDescent="0.2">
      <c r="A394" s="22"/>
      <c r="B394" s="16"/>
      <c r="C394" s="23"/>
      <c r="D394" s="2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8.75" customHeight="1" x14ac:dyDescent="0.2">
      <c r="A395" s="22"/>
      <c r="B395" s="16"/>
      <c r="C395" s="23"/>
      <c r="D395" s="2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8.75" customHeight="1" x14ac:dyDescent="0.2">
      <c r="A396" s="22"/>
      <c r="B396" s="16"/>
      <c r="C396" s="23"/>
      <c r="D396" s="2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8.75" customHeight="1" x14ac:dyDescent="0.2">
      <c r="A397" s="22"/>
      <c r="B397" s="16"/>
      <c r="C397" s="23"/>
      <c r="D397" s="2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8.75" customHeight="1" x14ac:dyDescent="0.2">
      <c r="A398" s="22"/>
      <c r="B398" s="16"/>
      <c r="C398" s="23"/>
      <c r="D398" s="2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8.75" customHeight="1" x14ac:dyDescent="0.2">
      <c r="A399" s="22"/>
      <c r="B399" s="16"/>
      <c r="C399" s="23"/>
      <c r="D399" s="2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8.75" customHeight="1" x14ac:dyDescent="0.2">
      <c r="A400" s="22"/>
      <c r="B400" s="16"/>
      <c r="C400" s="23"/>
      <c r="D400" s="2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8.75" customHeight="1" x14ac:dyDescent="0.2">
      <c r="A401" s="22"/>
      <c r="B401" s="16"/>
      <c r="C401" s="23"/>
      <c r="D401" s="24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8.75" customHeight="1" x14ac:dyDescent="0.2">
      <c r="A402" s="22"/>
      <c r="B402" s="16"/>
      <c r="C402" s="23"/>
      <c r="D402" s="24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8.75" customHeight="1" x14ac:dyDescent="0.2">
      <c r="A403" s="22"/>
      <c r="B403" s="16"/>
      <c r="C403" s="23"/>
      <c r="D403" s="2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8.75" customHeight="1" x14ac:dyDescent="0.2">
      <c r="A404" s="22"/>
      <c r="B404" s="16"/>
      <c r="C404" s="23"/>
      <c r="D404" s="24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8.75" customHeight="1" x14ac:dyDescent="0.2">
      <c r="A405" s="22"/>
      <c r="B405" s="16"/>
      <c r="C405" s="23"/>
      <c r="D405" s="24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8.75" customHeight="1" x14ac:dyDescent="0.2">
      <c r="A406" s="22"/>
      <c r="B406" s="16"/>
      <c r="C406" s="23"/>
      <c r="D406" s="2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8.75" customHeight="1" x14ac:dyDescent="0.2">
      <c r="A407" s="22"/>
      <c r="B407" s="16"/>
      <c r="C407" s="23"/>
      <c r="D407" s="24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8.75" customHeight="1" x14ac:dyDescent="0.2">
      <c r="A408" s="22"/>
      <c r="B408" s="16"/>
      <c r="C408" s="23"/>
      <c r="D408" s="24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8.75" customHeight="1" x14ac:dyDescent="0.2">
      <c r="A409" s="22"/>
      <c r="B409" s="16"/>
      <c r="C409" s="23"/>
      <c r="D409" s="24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8.75" customHeight="1" x14ac:dyDescent="0.2">
      <c r="A410" s="22"/>
      <c r="B410" s="16"/>
      <c r="C410" s="23"/>
      <c r="D410" s="24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8.75" customHeight="1" x14ac:dyDescent="0.2">
      <c r="A411" s="22"/>
      <c r="B411" s="16"/>
      <c r="C411" s="23"/>
      <c r="D411" s="24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8.75" customHeight="1" x14ac:dyDescent="0.2">
      <c r="A412" s="22"/>
      <c r="B412" s="16"/>
      <c r="C412" s="23"/>
      <c r="D412" s="24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8.75" customHeight="1" x14ac:dyDescent="0.2">
      <c r="A413" s="22"/>
      <c r="B413" s="16"/>
      <c r="C413" s="23"/>
      <c r="D413" s="24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8.75" customHeight="1" x14ac:dyDescent="0.2">
      <c r="A414" s="22"/>
      <c r="B414" s="16"/>
      <c r="C414" s="23"/>
      <c r="D414" s="24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8.75" customHeight="1" x14ac:dyDescent="0.2">
      <c r="A415" s="22"/>
      <c r="B415" s="16"/>
      <c r="C415" s="23"/>
      <c r="D415" s="24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8.75" customHeight="1" x14ac:dyDescent="0.2">
      <c r="A416" s="22"/>
      <c r="B416" s="16"/>
      <c r="C416" s="23"/>
      <c r="D416" s="24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8.75" customHeight="1" x14ac:dyDescent="0.2">
      <c r="A417" s="22"/>
      <c r="B417" s="16"/>
      <c r="C417" s="23"/>
      <c r="D417" s="24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8.75" customHeight="1" x14ac:dyDescent="0.2">
      <c r="A418" s="22"/>
      <c r="B418" s="16"/>
      <c r="C418" s="23"/>
      <c r="D418" s="24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8.75" customHeight="1" x14ac:dyDescent="0.2">
      <c r="A419" s="22"/>
      <c r="B419" s="16"/>
      <c r="C419" s="23"/>
      <c r="D419" s="24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8.75" customHeight="1" x14ac:dyDescent="0.2">
      <c r="A420" s="22"/>
      <c r="B420" s="16"/>
      <c r="C420" s="23"/>
      <c r="D420" s="24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8.75" customHeight="1" x14ac:dyDescent="0.2">
      <c r="A421" s="22"/>
      <c r="B421" s="16"/>
      <c r="C421" s="23"/>
      <c r="D421" s="24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8.75" customHeight="1" x14ac:dyDescent="0.2">
      <c r="A422" s="22"/>
      <c r="B422" s="16"/>
      <c r="C422" s="23"/>
      <c r="D422" s="24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8.75" customHeight="1" x14ac:dyDescent="0.2">
      <c r="A423" s="22"/>
      <c r="B423" s="16"/>
      <c r="C423" s="23"/>
      <c r="D423" s="2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8.75" customHeight="1" x14ac:dyDescent="0.2">
      <c r="A424" s="22"/>
      <c r="B424" s="16"/>
      <c r="C424" s="23"/>
      <c r="D424" s="2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8.75" customHeight="1" x14ac:dyDescent="0.2">
      <c r="A425" s="22"/>
      <c r="B425" s="16"/>
      <c r="C425" s="23"/>
      <c r="D425" s="2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8.75" customHeight="1" x14ac:dyDescent="0.2">
      <c r="A426" s="22"/>
      <c r="B426" s="16"/>
      <c r="C426" s="23"/>
      <c r="D426" s="24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8.75" customHeight="1" x14ac:dyDescent="0.2">
      <c r="A427" s="22"/>
      <c r="B427" s="16"/>
      <c r="C427" s="23"/>
      <c r="D427" s="24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8.75" customHeight="1" x14ac:dyDescent="0.2">
      <c r="A428" s="22"/>
      <c r="B428" s="16"/>
      <c r="C428" s="23"/>
      <c r="D428" s="24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8.75" customHeight="1" x14ac:dyDescent="0.2">
      <c r="A429" s="22"/>
      <c r="B429" s="16"/>
      <c r="C429" s="23"/>
      <c r="D429" s="24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8.75" customHeight="1" x14ac:dyDescent="0.2">
      <c r="A430" s="22"/>
      <c r="B430" s="16"/>
      <c r="C430" s="23"/>
      <c r="D430" s="24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8.75" customHeight="1" x14ac:dyDescent="0.2">
      <c r="A431" s="22"/>
      <c r="B431" s="16"/>
      <c r="C431" s="23"/>
      <c r="D431" s="24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8.75" customHeight="1" x14ac:dyDescent="0.2">
      <c r="A432" s="22"/>
      <c r="B432" s="16"/>
      <c r="C432" s="23"/>
      <c r="D432" s="24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8.75" customHeight="1" x14ac:dyDescent="0.2">
      <c r="A433" s="22"/>
      <c r="B433" s="16"/>
      <c r="C433" s="23"/>
      <c r="D433" s="24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8.75" customHeight="1" x14ac:dyDescent="0.2">
      <c r="A434" s="22"/>
      <c r="B434" s="16"/>
      <c r="C434" s="23"/>
      <c r="D434" s="24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8.75" customHeight="1" x14ac:dyDescent="0.2">
      <c r="A435" s="22"/>
      <c r="B435" s="16"/>
      <c r="C435" s="23"/>
      <c r="D435" s="24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8.75" customHeight="1" x14ac:dyDescent="0.2">
      <c r="A436" s="22"/>
      <c r="B436" s="16"/>
      <c r="C436" s="23"/>
      <c r="D436" s="24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8.75" customHeight="1" x14ac:dyDescent="0.2">
      <c r="A437" s="22"/>
      <c r="B437" s="16"/>
      <c r="C437" s="23"/>
      <c r="D437" s="24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8.75" customHeight="1" x14ac:dyDescent="0.2">
      <c r="A438" s="22"/>
      <c r="B438" s="16"/>
      <c r="C438" s="23"/>
      <c r="D438" s="24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8.75" customHeight="1" x14ac:dyDescent="0.2">
      <c r="A439" s="22"/>
      <c r="B439" s="16"/>
      <c r="C439" s="23"/>
      <c r="D439" s="2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8.75" customHeight="1" x14ac:dyDescent="0.2">
      <c r="A440" s="22"/>
      <c r="B440" s="16"/>
      <c r="C440" s="23"/>
      <c r="D440" s="24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8.75" customHeight="1" x14ac:dyDescent="0.2">
      <c r="A441" s="22"/>
      <c r="B441" s="16"/>
      <c r="C441" s="23"/>
      <c r="D441" s="24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8.75" customHeight="1" x14ac:dyDescent="0.2">
      <c r="A442" s="22"/>
      <c r="B442" s="16"/>
      <c r="C442" s="23"/>
      <c r="D442" s="24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8.75" customHeight="1" x14ac:dyDescent="0.2">
      <c r="A443" s="22"/>
      <c r="B443" s="16"/>
      <c r="C443" s="23"/>
      <c r="D443" s="24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8.75" customHeight="1" x14ac:dyDescent="0.2">
      <c r="A444" s="22"/>
      <c r="B444" s="16"/>
      <c r="C444" s="23"/>
      <c r="D444" s="24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8.75" customHeight="1" x14ac:dyDescent="0.2">
      <c r="A445" s="22"/>
      <c r="B445" s="16"/>
      <c r="C445" s="23"/>
      <c r="D445" s="24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8.75" customHeight="1" x14ac:dyDescent="0.2">
      <c r="A446" s="22"/>
      <c r="B446" s="16"/>
      <c r="C446" s="23"/>
      <c r="D446" s="24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8.75" customHeight="1" x14ac:dyDescent="0.2">
      <c r="A447" s="22"/>
      <c r="B447" s="16"/>
      <c r="C447" s="23"/>
      <c r="D447" s="24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8.75" customHeight="1" x14ac:dyDescent="0.2">
      <c r="A448" s="22"/>
      <c r="B448" s="16"/>
      <c r="C448" s="23"/>
      <c r="D448" s="2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8.75" customHeight="1" x14ac:dyDescent="0.2">
      <c r="A449" s="22"/>
      <c r="B449" s="16"/>
      <c r="C449" s="23"/>
      <c r="D449" s="24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8.75" customHeight="1" x14ac:dyDescent="0.2">
      <c r="A450" s="22"/>
      <c r="B450" s="16"/>
      <c r="C450" s="23"/>
      <c r="D450" s="24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8.75" customHeight="1" x14ac:dyDescent="0.2">
      <c r="A451" s="22"/>
      <c r="B451" s="16"/>
      <c r="C451" s="23"/>
      <c r="D451" s="24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8.75" customHeight="1" x14ac:dyDescent="0.2">
      <c r="A452" s="22"/>
      <c r="B452" s="16"/>
      <c r="C452" s="23"/>
      <c r="D452" s="24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8.75" customHeight="1" x14ac:dyDescent="0.2">
      <c r="A453" s="22"/>
      <c r="B453" s="16"/>
      <c r="C453" s="23"/>
      <c r="D453" s="24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8.75" customHeight="1" x14ac:dyDescent="0.2">
      <c r="A454" s="22"/>
      <c r="B454" s="16"/>
      <c r="C454" s="23"/>
      <c r="D454" s="24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8.75" customHeight="1" x14ac:dyDescent="0.2">
      <c r="A455" s="22"/>
      <c r="B455" s="16"/>
      <c r="C455" s="23"/>
      <c r="D455" s="24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8.75" customHeight="1" x14ac:dyDescent="0.2">
      <c r="A456" s="22"/>
      <c r="B456" s="16"/>
      <c r="C456" s="23"/>
      <c r="D456" s="24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8.75" customHeight="1" x14ac:dyDescent="0.2">
      <c r="A457" s="22"/>
      <c r="B457" s="16"/>
      <c r="C457" s="23"/>
      <c r="D457" s="24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8.75" customHeight="1" x14ac:dyDescent="0.2">
      <c r="A458" s="22"/>
      <c r="B458" s="16"/>
      <c r="C458" s="23"/>
      <c r="D458" s="24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8.75" customHeight="1" x14ac:dyDescent="0.2">
      <c r="A459" s="22"/>
      <c r="B459" s="16"/>
      <c r="C459" s="23"/>
      <c r="D459" s="24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8.75" customHeight="1" x14ac:dyDescent="0.2">
      <c r="A460" s="22"/>
      <c r="B460" s="16"/>
      <c r="C460" s="23"/>
      <c r="D460" s="24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8.75" customHeight="1" x14ac:dyDescent="0.2">
      <c r="A461" s="22"/>
      <c r="B461" s="16"/>
      <c r="C461" s="23"/>
      <c r="D461" s="24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8.75" customHeight="1" x14ac:dyDescent="0.2">
      <c r="A462" s="22"/>
      <c r="B462" s="16"/>
      <c r="C462" s="23"/>
      <c r="D462" s="24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8.75" customHeight="1" x14ac:dyDescent="0.2">
      <c r="A463" s="22"/>
      <c r="B463" s="16"/>
      <c r="C463" s="23"/>
      <c r="D463" s="24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8.75" customHeight="1" x14ac:dyDescent="0.2">
      <c r="A464" s="22"/>
      <c r="B464" s="16"/>
      <c r="C464" s="23"/>
      <c r="D464" s="24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8.75" customHeight="1" x14ac:dyDescent="0.2">
      <c r="A465" s="22"/>
      <c r="B465" s="16"/>
      <c r="C465" s="23"/>
      <c r="D465" s="24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8.75" customHeight="1" x14ac:dyDescent="0.2">
      <c r="A466" s="22"/>
      <c r="B466" s="16"/>
      <c r="C466" s="23"/>
      <c r="D466" s="24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8.75" customHeight="1" x14ac:dyDescent="0.2">
      <c r="A467" s="22"/>
      <c r="B467" s="16"/>
      <c r="C467" s="23"/>
      <c r="D467" s="24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8.75" customHeight="1" x14ac:dyDescent="0.2">
      <c r="A468" s="22"/>
      <c r="B468" s="16"/>
      <c r="C468" s="23"/>
      <c r="D468" s="24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8.75" customHeight="1" x14ac:dyDescent="0.2">
      <c r="A469" s="22"/>
      <c r="B469" s="16"/>
      <c r="C469" s="23"/>
      <c r="D469" s="24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8.75" customHeight="1" x14ac:dyDescent="0.2">
      <c r="A470" s="22"/>
      <c r="B470" s="16"/>
      <c r="C470" s="23"/>
      <c r="D470" s="24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8.75" customHeight="1" x14ac:dyDescent="0.2">
      <c r="A471" s="22"/>
      <c r="B471" s="16"/>
      <c r="C471" s="23"/>
      <c r="D471" s="24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8.75" customHeight="1" x14ac:dyDescent="0.2">
      <c r="A472" s="22"/>
      <c r="B472" s="16"/>
      <c r="C472" s="23"/>
      <c r="D472" s="24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8.75" customHeight="1" x14ac:dyDescent="0.2">
      <c r="A473" s="22"/>
      <c r="B473" s="16"/>
      <c r="C473" s="23"/>
      <c r="D473" s="24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8.75" customHeight="1" x14ac:dyDescent="0.2">
      <c r="A474" s="22"/>
      <c r="B474" s="16"/>
      <c r="C474" s="23"/>
      <c r="D474" s="24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8.75" customHeight="1" x14ac:dyDescent="0.2">
      <c r="A475" s="22"/>
      <c r="B475" s="16"/>
      <c r="C475" s="23"/>
      <c r="D475" s="24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8.75" customHeight="1" x14ac:dyDescent="0.2">
      <c r="A476" s="22"/>
      <c r="B476" s="16"/>
      <c r="C476" s="23"/>
      <c r="D476" s="24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8.75" customHeight="1" x14ac:dyDescent="0.2">
      <c r="A477" s="22"/>
      <c r="B477" s="16"/>
      <c r="C477" s="23"/>
      <c r="D477" s="2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8.75" customHeight="1" x14ac:dyDescent="0.2">
      <c r="A478" s="22"/>
      <c r="B478" s="16"/>
      <c r="C478" s="23"/>
      <c r="D478" s="2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8.75" customHeight="1" x14ac:dyDescent="0.2">
      <c r="A479" s="22"/>
      <c r="B479" s="16"/>
      <c r="C479" s="23"/>
      <c r="D479" s="2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8.75" customHeight="1" x14ac:dyDescent="0.2">
      <c r="A480" s="22"/>
      <c r="B480" s="16"/>
      <c r="C480" s="23"/>
      <c r="D480" s="24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8.75" customHeight="1" x14ac:dyDescent="0.2">
      <c r="A481" s="22"/>
      <c r="B481" s="16"/>
      <c r="C481" s="23"/>
      <c r="D481" s="24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8.75" customHeight="1" x14ac:dyDescent="0.2">
      <c r="A482" s="22"/>
      <c r="B482" s="16"/>
      <c r="C482" s="23"/>
      <c r="D482" s="24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8.75" customHeight="1" x14ac:dyDescent="0.2">
      <c r="A483" s="22"/>
      <c r="B483" s="16"/>
      <c r="C483" s="23"/>
      <c r="D483" s="24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8.75" customHeight="1" x14ac:dyDescent="0.2">
      <c r="A484" s="22"/>
      <c r="B484" s="16"/>
      <c r="C484" s="23"/>
      <c r="D484" s="24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8.75" customHeight="1" x14ac:dyDescent="0.2">
      <c r="A485" s="22"/>
      <c r="B485" s="16"/>
      <c r="C485" s="23"/>
      <c r="D485" s="24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8.75" customHeight="1" x14ac:dyDescent="0.2">
      <c r="A486" s="22"/>
      <c r="B486" s="16"/>
      <c r="C486" s="23"/>
      <c r="D486" s="24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8.75" customHeight="1" x14ac:dyDescent="0.2">
      <c r="A487" s="22"/>
      <c r="B487" s="16"/>
      <c r="C487" s="23"/>
      <c r="D487" s="24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8.75" customHeight="1" x14ac:dyDescent="0.2">
      <c r="A488" s="22"/>
      <c r="B488" s="16"/>
      <c r="C488" s="23"/>
      <c r="D488" s="24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8.75" customHeight="1" x14ac:dyDescent="0.2">
      <c r="A489" s="22"/>
      <c r="B489" s="16"/>
      <c r="C489" s="23"/>
      <c r="D489" s="24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8.75" customHeight="1" x14ac:dyDescent="0.2">
      <c r="A490" s="22"/>
      <c r="B490" s="16"/>
      <c r="C490" s="23"/>
      <c r="D490" s="24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8.75" customHeight="1" x14ac:dyDescent="0.2">
      <c r="A491" s="22"/>
      <c r="B491" s="16"/>
      <c r="C491" s="23"/>
      <c r="D491" s="24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8.75" customHeight="1" x14ac:dyDescent="0.2">
      <c r="A492" s="22"/>
      <c r="B492" s="16"/>
      <c r="C492" s="23"/>
      <c r="D492" s="24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8.75" customHeight="1" x14ac:dyDescent="0.2">
      <c r="A493" s="22"/>
      <c r="B493" s="16"/>
      <c r="C493" s="23"/>
      <c r="D493" s="24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8.75" customHeight="1" x14ac:dyDescent="0.2">
      <c r="A494" s="22"/>
      <c r="B494" s="16"/>
      <c r="C494" s="23"/>
      <c r="D494" s="24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8.75" customHeight="1" x14ac:dyDescent="0.2">
      <c r="A495" s="22"/>
      <c r="B495" s="16"/>
      <c r="C495" s="23"/>
      <c r="D495" s="24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8.75" customHeight="1" x14ac:dyDescent="0.2">
      <c r="A496" s="22"/>
      <c r="B496" s="16"/>
      <c r="C496" s="23"/>
      <c r="D496" s="24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8.75" customHeight="1" x14ac:dyDescent="0.2">
      <c r="A497" s="22"/>
      <c r="B497" s="16"/>
      <c r="C497" s="23"/>
      <c r="D497" s="24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8.75" customHeight="1" x14ac:dyDescent="0.2">
      <c r="A498" s="22"/>
      <c r="B498" s="16"/>
      <c r="C498" s="23"/>
      <c r="D498" s="24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8.75" customHeight="1" x14ac:dyDescent="0.2">
      <c r="A499" s="22"/>
      <c r="B499" s="16"/>
      <c r="C499" s="23"/>
      <c r="D499" s="24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8.75" customHeight="1" x14ac:dyDescent="0.2">
      <c r="A500" s="22"/>
      <c r="B500" s="16"/>
      <c r="C500" s="23"/>
      <c r="D500" s="24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8.75" customHeight="1" x14ac:dyDescent="0.2">
      <c r="A501" s="22"/>
      <c r="B501" s="16"/>
      <c r="C501" s="23"/>
      <c r="D501" s="24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8.75" customHeight="1" x14ac:dyDescent="0.2">
      <c r="A502" s="22"/>
      <c r="B502" s="16"/>
      <c r="C502" s="23"/>
      <c r="D502" s="2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8.75" customHeight="1" x14ac:dyDescent="0.2">
      <c r="A503" s="22"/>
      <c r="B503" s="16"/>
      <c r="C503" s="23"/>
      <c r="D503" s="24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8.75" customHeight="1" x14ac:dyDescent="0.2">
      <c r="A504" s="22"/>
      <c r="B504" s="16"/>
      <c r="C504" s="23"/>
      <c r="D504" s="24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8.75" customHeight="1" x14ac:dyDescent="0.2">
      <c r="A505" s="22"/>
      <c r="B505" s="16"/>
      <c r="C505" s="23"/>
      <c r="D505" s="2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8.75" customHeight="1" x14ac:dyDescent="0.2">
      <c r="A506" s="22"/>
      <c r="B506" s="16"/>
      <c r="C506" s="23"/>
      <c r="D506" s="24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8.75" customHeight="1" x14ac:dyDescent="0.2">
      <c r="A507" s="22"/>
      <c r="B507" s="16"/>
      <c r="C507" s="23"/>
      <c r="D507" s="24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8.75" customHeight="1" x14ac:dyDescent="0.2">
      <c r="A508" s="22"/>
      <c r="B508" s="16"/>
      <c r="C508" s="23"/>
      <c r="D508" s="24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8.75" customHeight="1" x14ac:dyDescent="0.2">
      <c r="A509" s="22"/>
      <c r="B509" s="16"/>
      <c r="C509" s="23"/>
      <c r="D509" s="24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8.75" customHeight="1" x14ac:dyDescent="0.2">
      <c r="A510" s="22"/>
      <c r="B510" s="16"/>
      <c r="C510" s="23"/>
      <c r="D510" s="24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8.75" customHeight="1" x14ac:dyDescent="0.2">
      <c r="A511" s="22"/>
      <c r="B511" s="16"/>
      <c r="C511" s="23"/>
      <c r="D511" s="24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8.75" customHeight="1" x14ac:dyDescent="0.2">
      <c r="A512" s="22"/>
      <c r="B512" s="16"/>
      <c r="C512" s="23"/>
      <c r="D512" s="24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8.75" customHeight="1" x14ac:dyDescent="0.2">
      <c r="A513" s="22"/>
      <c r="B513" s="16"/>
      <c r="C513" s="23"/>
      <c r="D513" s="24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8.75" customHeight="1" x14ac:dyDescent="0.2">
      <c r="A514" s="22"/>
      <c r="B514" s="16"/>
      <c r="C514" s="23"/>
      <c r="D514" s="24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8.75" customHeight="1" x14ac:dyDescent="0.2">
      <c r="A515" s="22"/>
      <c r="B515" s="16"/>
      <c r="C515" s="23"/>
      <c r="D515" s="24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8.75" customHeight="1" x14ac:dyDescent="0.2">
      <c r="A516" s="22"/>
      <c r="B516" s="16"/>
      <c r="C516" s="23"/>
      <c r="D516" s="24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8.75" customHeight="1" x14ac:dyDescent="0.2">
      <c r="A517" s="22"/>
      <c r="B517" s="16"/>
      <c r="C517" s="23"/>
      <c r="D517" s="24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8.75" customHeight="1" x14ac:dyDescent="0.2">
      <c r="A518" s="22"/>
      <c r="B518" s="16"/>
      <c r="C518" s="23"/>
      <c r="D518" s="24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8.75" customHeight="1" x14ac:dyDescent="0.2">
      <c r="A519" s="22"/>
      <c r="B519" s="16"/>
      <c r="C519" s="23"/>
      <c r="D519" s="24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8.75" customHeight="1" x14ac:dyDescent="0.2">
      <c r="A520" s="22"/>
      <c r="B520" s="16"/>
      <c r="C520" s="23"/>
      <c r="D520" s="24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8.75" customHeight="1" x14ac:dyDescent="0.2">
      <c r="A521" s="22"/>
      <c r="B521" s="16"/>
      <c r="C521" s="23"/>
      <c r="D521" s="24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8.75" customHeight="1" x14ac:dyDescent="0.2">
      <c r="A522" s="22"/>
      <c r="B522" s="16"/>
      <c r="C522" s="23"/>
      <c r="D522" s="24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8.75" customHeight="1" x14ac:dyDescent="0.2">
      <c r="A523" s="22"/>
      <c r="B523" s="16"/>
      <c r="C523" s="23"/>
      <c r="D523" s="24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8.75" customHeight="1" x14ac:dyDescent="0.2">
      <c r="A524" s="22"/>
      <c r="B524" s="16"/>
      <c r="C524" s="23"/>
      <c r="D524" s="2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8.75" customHeight="1" x14ac:dyDescent="0.2">
      <c r="A525" s="22"/>
      <c r="B525" s="16"/>
      <c r="C525" s="23"/>
      <c r="D525" s="24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8.75" customHeight="1" x14ac:dyDescent="0.2">
      <c r="A526" s="22"/>
      <c r="B526" s="16"/>
      <c r="C526" s="23"/>
      <c r="D526" s="24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8.75" customHeight="1" x14ac:dyDescent="0.2">
      <c r="A527" s="22"/>
      <c r="B527" s="16"/>
      <c r="C527" s="23"/>
      <c r="D527" s="24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8.75" customHeight="1" x14ac:dyDescent="0.2">
      <c r="A528" s="22"/>
      <c r="B528" s="16"/>
      <c r="C528" s="23"/>
      <c r="D528" s="24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8.75" customHeight="1" x14ac:dyDescent="0.2">
      <c r="A529" s="22"/>
      <c r="B529" s="16"/>
      <c r="C529" s="23"/>
      <c r="D529" s="24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8.75" customHeight="1" x14ac:dyDescent="0.2">
      <c r="A530" s="22"/>
      <c r="B530" s="16"/>
      <c r="C530" s="23"/>
      <c r="D530" s="2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8.75" customHeight="1" x14ac:dyDescent="0.2">
      <c r="A531" s="22"/>
      <c r="B531" s="16"/>
      <c r="C531" s="23"/>
      <c r="D531" s="2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8.75" customHeight="1" x14ac:dyDescent="0.2">
      <c r="A532" s="22"/>
      <c r="B532" s="16"/>
      <c r="C532" s="23"/>
      <c r="D532" s="2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8.75" customHeight="1" x14ac:dyDescent="0.2">
      <c r="A533" s="22"/>
      <c r="B533" s="16"/>
      <c r="C533" s="23"/>
      <c r="D533" s="2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8.75" customHeight="1" x14ac:dyDescent="0.2">
      <c r="A534" s="22"/>
      <c r="B534" s="16"/>
      <c r="C534" s="23"/>
      <c r="D534" s="24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8.75" customHeight="1" x14ac:dyDescent="0.2">
      <c r="A535" s="22"/>
      <c r="B535" s="16"/>
      <c r="C535" s="23"/>
      <c r="D535" s="24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8.75" customHeight="1" x14ac:dyDescent="0.2">
      <c r="A536" s="22"/>
      <c r="B536" s="16"/>
      <c r="C536" s="23"/>
      <c r="D536" s="24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8.75" customHeight="1" x14ac:dyDescent="0.2">
      <c r="A537" s="22"/>
      <c r="B537" s="16"/>
      <c r="C537" s="23"/>
      <c r="D537" s="24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8.75" customHeight="1" x14ac:dyDescent="0.2">
      <c r="A538" s="22"/>
      <c r="B538" s="16"/>
      <c r="C538" s="23"/>
      <c r="D538" s="2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8.75" customHeight="1" x14ac:dyDescent="0.2">
      <c r="A539" s="22"/>
      <c r="B539" s="16"/>
      <c r="C539" s="23"/>
      <c r="D539" s="24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8.75" customHeight="1" x14ac:dyDescent="0.2">
      <c r="A540" s="22"/>
      <c r="B540" s="16"/>
      <c r="C540" s="23"/>
      <c r="D540" s="24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8.75" customHeight="1" x14ac:dyDescent="0.2">
      <c r="A541" s="22"/>
      <c r="B541" s="16"/>
      <c r="C541" s="23"/>
      <c r="D541" s="24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8.75" customHeight="1" x14ac:dyDescent="0.2">
      <c r="A542" s="22"/>
      <c r="B542" s="16"/>
      <c r="C542" s="23"/>
      <c r="D542" s="24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8.75" customHeight="1" x14ac:dyDescent="0.2">
      <c r="A543" s="22"/>
      <c r="B543" s="16"/>
      <c r="C543" s="23"/>
      <c r="D543" s="24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8.75" customHeight="1" x14ac:dyDescent="0.2">
      <c r="A544" s="22"/>
      <c r="B544" s="16"/>
      <c r="C544" s="23"/>
      <c r="D544" s="24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8.75" customHeight="1" x14ac:dyDescent="0.2">
      <c r="A545" s="22"/>
      <c r="B545" s="16"/>
      <c r="C545" s="23"/>
      <c r="D545" s="24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8.75" customHeight="1" x14ac:dyDescent="0.2">
      <c r="A546" s="22"/>
      <c r="B546" s="16"/>
      <c r="C546" s="23"/>
      <c r="D546" s="24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8.75" customHeight="1" x14ac:dyDescent="0.2">
      <c r="A547" s="22"/>
      <c r="B547" s="16"/>
      <c r="C547" s="23"/>
      <c r="D547" s="2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8.75" customHeight="1" x14ac:dyDescent="0.2">
      <c r="A548" s="22"/>
      <c r="B548" s="16"/>
      <c r="C548" s="23"/>
      <c r="D548" s="24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8.75" customHeight="1" x14ac:dyDescent="0.2">
      <c r="A549" s="22"/>
      <c r="B549" s="16"/>
      <c r="C549" s="23"/>
      <c r="D549" s="24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8.75" customHeight="1" x14ac:dyDescent="0.2">
      <c r="A550" s="22"/>
      <c r="B550" s="16"/>
      <c r="C550" s="23"/>
      <c r="D550" s="24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8.75" customHeight="1" x14ac:dyDescent="0.2">
      <c r="A551" s="22"/>
      <c r="B551" s="16"/>
      <c r="C551" s="23"/>
      <c r="D551" s="24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8.75" customHeight="1" x14ac:dyDescent="0.2">
      <c r="A552" s="22"/>
      <c r="B552" s="16"/>
      <c r="C552" s="23"/>
      <c r="D552" s="24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8.75" customHeight="1" x14ac:dyDescent="0.2">
      <c r="A553" s="22"/>
      <c r="B553" s="16"/>
      <c r="C553" s="23"/>
      <c r="D553" s="24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8.75" customHeight="1" x14ac:dyDescent="0.2">
      <c r="A554" s="22"/>
      <c r="B554" s="16"/>
      <c r="C554" s="23"/>
      <c r="D554" s="24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8.75" customHeight="1" x14ac:dyDescent="0.2">
      <c r="A555" s="22"/>
      <c r="B555" s="16"/>
      <c r="C555" s="23"/>
      <c r="D555" s="24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8.75" customHeight="1" x14ac:dyDescent="0.2">
      <c r="A556" s="22"/>
      <c r="B556" s="16"/>
      <c r="C556" s="23"/>
      <c r="D556" s="24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8.75" customHeight="1" x14ac:dyDescent="0.2">
      <c r="A557" s="22"/>
      <c r="B557" s="16"/>
      <c r="C557" s="23"/>
      <c r="D557" s="24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8.75" customHeight="1" x14ac:dyDescent="0.2">
      <c r="A558" s="22"/>
      <c r="B558" s="16"/>
      <c r="C558" s="23"/>
      <c r="D558" s="24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8.75" customHeight="1" x14ac:dyDescent="0.2">
      <c r="A559" s="22"/>
      <c r="B559" s="16"/>
      <c r="C559" s="23"/>
      <c r="D559" s="24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8.75" customHeight="1" x14ac:dyDescent="0.2">
      <c r="A560" s="22"/>
      <c r="B560" s="16"/>
      <c r="C560" s="23"/>
      <c r="D560" s="24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8.75" customHeight="1" x14ac:dyDescent="0.2">
      <c r="A561" s="22"/>
      <c r="B561" s="16"/>
      <c r="C561" s="23"/>
      <c r="D561" s="24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8.75" customHeight="1" x14ac:dyDescent="0.2">
      <c r="A562" s="22"/>
      <c r="B562" s="16"/>
      <c r="C562" s="23"/>
      <c r="D562" s="24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8.75" customHeight="1" x14ac:dyDescent="0.2">
      <c r="A563" s="22"/>
      <c r="B563" s="16"/>
      <c r="C563" s="23"/>
      <c r="D563" s="24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8.75" customHeight="1" x14ac:dyDescent="0.2">
      <c r="A564" s="22"/>
      <c r="B564" s="16"/>
      <c r="C564" s="23"/>
      <c r="D564" s="24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8.75" customHeight="1" x14ac:dyDescent="0.2">
      <c r="A565" s="22"/>
      <c r="B565" s="16"/>
      <c r="C565" s="23"/>
      <c r="D565" s="24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8.75" customHeight="1" x14ac:dyDescent="0.2">
      <c r="A566" s="22"/>
      <c r="B566" s="16"/>
      <c r="C566" s="23"/>
      <c r="D566" s="24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8.75" customHeight="1" x14ac:dyDescent="0.2">
      <c r="A567" s="22"/>
      <c r="B567" s="16"/>
      <c r="C567" s="23"/>
      <c r="D567" s="24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8.75" customHeight="1" x14ac:dyDescent="0.2">
      <c r="A568" s="22"/>
      <c r="B568" s="16"/>
      <c r="C568" s="23"/>
      <c r="D568" s="24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8.75" customHeight="1" x14ac:dyDescent="0.2">
      <c r="A569" s="22"/>
      <c r="B569" s="16"/>
      <c r="C569" s="23"/>
      <c r="D569" s="24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8.75" customHeight="1" x14ac:dyDescent="0.2">
      <c r="A570" s="22"/>
      <c r="B570" s="16"/>
      <c r="C570" s="23"/>
      <c r="D570" s="24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8.75" customHeight="1" x14ac:dyDescent="0.2">
      <c r="A571" s="22"/>
      <c r="B571" s="16"/>
      <c r="C571" s="23"/>
      <c r="D571" s="24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8.75" customHeight="1" x14ac:dyDescent="0.2">
      <c r="A572" s="22"/>
      <c r="B572" s="16"/>
      <c r="C572" s="23"/>
      <c r="D572" s="24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8.75" customHeight="1" x14ac:dyDescent="0.2">
      <c r="A573" s="22"/>
      <c r="B573" s="16"/>
      <c r="C573" s="23"/>
      <c r="D573" s="24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8.75" customHeight="1" x14ac:dyDescent="0.2">
      <c r="A574" s="22"/>
      <c r="B574" s="16"/>
      <c r="C574" s="23"/>
      <c r="D574" s="24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8.75" customHeight="1" x14ac:dyDescent="0.2">
      <c r="A575" s="22"/>
      <c r="B575" s="16"/>
      <c r="C575" s="23"/>
      <c r="D575" s="24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8.75" customHeight="1" x14ac:dyDescent="0.2">
      <c r="A576" s="22"/>
      <c r="B576" s="16"/>
      <c r="C576" s="23"/>
      <c r="D576" s="24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8.75" customHeight="1" x14ac:dyDescent="0.2">
      <c r="A577" s="22"/>
      <c r="B577" s="16"/>
      <c r="C577" s="23"/>
      <c r="D577" s="24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8.75" customHeight="1" x14ac:dyDescent="0.2">
      <c r="A578" s="22"/>
      <c r="B578" s="16"/>
      <c r="C578" s="23"/>
      <c r="D578" s="24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8.75" customHeight="1" x14ac:dyDescent="0.2">
      <c r="A579" s="22"/>
      <c r="B579" s="16"/>
      <c r="C579" s="23"/>
      <c r="D579" s="24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8.75" customHeight="1" x14ac:dyDescent="0.2">
      <c r="A580" s="22"/>
      <c r="B580" s="16"/>
      <c r="C580" s="23"/>
      <c r="D580" s="24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8.75" customHeight="1" x14ac:dyDescent="0.2">
      <c r="A581" s="22"/>
      <c r="B581" s="16"/>
      <c r="C581" s="23"/>
      <c r="D581" s="24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8.75" customHeight="1" x14ac:dyDescent="0.2">
      <c r="A582" s="22"/>
      <c r="B582" s="16"/>
      <c r="C582" s="23"/>
      <c r="D582" s="24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8.75" customHeight="1" x14ac:dyDescent="0.2">
      <c r="A583" s="22"/>
      <c r="B583" s="16"/>
      <c r="C583" s="23"/>
      <c r="D583" s="24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8.75" customHeight="1" x14ac:dyDescent="0.2">
      <c r="A584" s="22"/>
      <c r="B584" s="16"/>
      <c r="C584" s="23"/>
      <c r="D584" s="24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8.75" customHeight="1" x14ac:dyDescent="0.2">
      <c r="A585" s="22"/>
      <c r="B585" s="16"/>
      <c r="C585" s="23"/>
      <c r="D585" s="24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8.75" customHeight="1" x14ac:dyDescent="0.2">
      <c r="A586" s="22"/>
      <c r="B586" s="16"/>
      <c r="C586" s="23"/>
      <c r="D586" s="24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8.75" customHeight="1" x14ac:dyDescent="0.2">
      <c r="A587" s="22"/>
      <c r="B587" s="16"/>
      <c r="C587" s="23"/>
      <c r="D587" s="24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8.75" customHeight="1" x14ac:dyDescent="0.2">
      <c r="A588" s="22"/>
      <c r="B588" s="16"/>
      <c r="C588" s="23"/>
      <c r="D588" s="24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8.75" customHeight="1" x14ac:dyDescent="0.2">
      <c r="A589" s="22"/>
      <c r="B589" s="16"/>
      <c r="C589" s="23"/>
      <c r="D589" s="24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8.75" customHeight="1" x14ac:dyDescent="0.2">
      <c r="A590" s="22"/>
      <c r="B590" s="16"/>
      <c r="C590" s="23"/>
      <c r="D590" s="24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8.75" customHeight="1" x14ac:dyDescent="0.2">
      <c r="A591" s="22"/>
      <c r="B591" s="16"/>
      <c r="C591" s="23"/>
      <c r="D591" s="24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8.75" customHeight="1" x14ac:dyDescent="0.2">
      <c r="A592" s="22"/>
      <c r="B592" s="16"/>
      <c r="C592" s="23"/>
      <c r="D592" s="24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8.75" customHeight="1" x14ac:dyDescent="0.2">
      <c r="A593" s="22"/>
      <c r="B593" s="16"/>
      <c r="C593" s="23"/>
      <c r="D593" s="24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8.75" customHeight="1" x14ac:dyDescent="0.2">
      <c r="A594" s="22"/>
      <c r="B594" s="16"/>
      <c r="C594" s="23"/>
      <c r="D594" s="24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8.75" customHeight="1" x14ac:dyDescent="0.2">
      <c r="A595" s="22"/>
      <c r="B595" s="16"/>
      <c r="C595" s="23"/>
      <c r="D595" s="24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8.75" customHeight="1" x14ac:dyDescent="0.2">
      <c r="A596" s="22"/>
      <c r="B596" s="16"/>
      <c r="C596" s="23"/>
      <c r="D596" s="24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8.75" customHeight="1" x14ac:dyDescent="0.2">
      <c r="A597" s="22"/>
      <c r="B597" s="16"/>
      <c r="C597" s="23"/>
      <c r="D597" s="24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8.75" customHeight="1" x14ac:dyDescent="0.2">
      <c r="A598" s="22"/>
      <c r="B598" s="16"/>
      <c r="C598" s="23"/>
      <c r="D598" s="24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8.75" customHeight="1" x14ac:dyDescent="0.2">
      <c r="A599" s="22"/>
      <c r="B599" s="16"/>
      <c r="C599" s="23"/>
      <c r="D599" s="24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8.75" customHeight="1" x14ac:dyDescent="0.2">
      <c r="A600" s="22"/>
      <c r="B600" s="16"/>
      <c r="C600" s="23"/>
      <c r="D600" s="24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8.75" customHeight="1" x14ac:dyDescent="0.2">
      <c r="A601" s="22"/>
      <c r="B601" s="16"/>
      <c r="C601" s="23"/>
      <c r="D601" s="2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8.75" customHeight="1" x14ac:dyDescent="0.2">
      <c r="A602" s="22"/>
      <c r="B602" s="16"/>
      <c r="C602" s="23"/>
      <c r="D602" s="24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8.75" customHeight="1" x14ac:dyDescent="0.2">
      <c r="A603" s="22"/>
      <c r="B603" s="16"/>
      <c r="C603" s="23"/>
      <c r="D603" s="24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8.75" customHeight="1" x14ac:dyDescent="0.2">
      <c r="A604" s="22"/>
      <c r="B604" s="16"/>
      <c r="C604" s="23"/>
      <c r="D604" s="24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8.75" customHeight="1" x14ac:dyDescent="0.2">
      <c r="A605" s="22"/>
      <c r="B605" s="16"/>
      <c r="C605" s="23"/>
      <c r="D605" s="24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8.75" customHeight="1" x14ac:dyDescent="0.2">
      <c r="A606" s="22"/>
      <c r="B606" s="16"/>
      <c r="C606" s="23"/>
      <c r="D606" s="24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8.75" customHeight="1" x14ac:dyDescent="0.2">
      <c r="A607" s="22"/>
      <c r="B607" s="16"/>
      <c r="C607" s="23"/>
      <c r="D607" s="24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8.75" customHeight="1" x14ac:dyDescent="0.2">
      <c r="A608" s="22"/>
      <c r="B608" s="16"/>
      <c r="C608" s="23"/>
      <c r="D608" s="24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8.75" customHeight="1" x14ac:dyDescent="0.2">
      <c r="A609" s="22"/>
      <c r="B609" s="16"/>
      <c r="C609" s="23"/>
      <c r="D609" s="24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8.75" customHeight="1" x14ac:dyDescent="0.2">
      <c r="A610" s="22"/>
      <c r="B610" s="16"/>
      <c r="C610" s="23"/>
      <c r="D610" s="24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8.75" customHeight="1" x14ac:dyDescent="0.2">
      <c r="A611" s="22"/>
      <c r="B611" s="16"/>
      <c r="C611" s="23"/>
      <c r="D611" s="24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8.75" customHeight="1" x14ac:dyDescent="0.2">
      <c r="A612" s="22"/>
      <c r="B612" s="16"/>
      <c r="C612" s="23"/>
      <c r="D612" s="24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8.75" customHeight="1" x14ac:dyDescent="0.2">
      <c r="A613" s="22"/>
      <c r="B613" s="16"/>
      <c r="C613" s="23"/>
      <c r="D613" s="24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8.75" customHeight="1" x14ac:dyDescent="0.2">
      <c r="A614" s="22"/>
      <c r="B614" s="16"/>
      <c r="C614" s="23"/>
      <c r="D614" s="24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8.75" customHeight="1" x14ac:dyDescent="0.2">
      <c r="A615" s="22"/>
      <c r="B615" s="16"/>
      <c r="C615" s="23"/>
      <c r="D615" s="24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8.75" customHeight="1" x14ac:dyDescent="0.2">
      <c r="A616" s="22"/>
      <c r="B616" s="16"/>
      <c r="C616" s="23"/>
      <c r="D616" s="24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8.75" customHeight="1" x14ac:dyDescent="0.2">
      <c r="A617" s="22"/>
      <c r="B617" s="16"/>
      <c r="C617" s="23"/>
      <c r="D617" s="24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8.75" customHeight="1" x14ac:dyDescent="0.2">
      <c r="A618" s="22"/>
      <c r="B618" s="16"/>
      <c r="C618" s="23"/>
      <c r="D618" s="24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8.75" customHeight="1" x14ac:dyDescent="0.2">
      <c r="A619" s="22"/>
      <c r="B619" s="16"/>
      <c r="C619" s="23"/>
      <c r="D619" s="24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8.75" customHeight="1" x14ac:dyDescent="0.2">
      <c r="A620" s="22"/>
      <c r="B620" s="16"/>
      <c r="C620" s="23"/>
      <c r="D620" s="24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8.75" customHeight="1" x14ac:dyDescent="0.2">
      <c r="A621" s="22"/>
      <c r="B621" s="16"/>
      <c r="C621" s="23"/>
      <c r="D621" s="24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8.75" customHeight="1" x14ac:dyDescent="0.2">
      <c r="A622" s="22"/>
      <c r="B622" s="16"/>
      <c r="C622" s="23"/>
      <c r="D622" s="24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8.75" customHeight="1" x14ac:dyDescent="0.2">
      <c r="A623" s="22"/>
      <c r="B623" s="16"/>
      <c r="C623" s="23"/>
      <c r="D623" s="24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8.75" customHeight="1" x14ac:dyDescent="0.2">
      <c r="A624" s="22"/>
      <c r="B624" s="16"/>
      <c r="C624" s="23"/>
      <c r="D624" s="24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8.75" customHeight="1" x14ac:dyDescent="0.2">
      <c r="A625" s="22"/>
      <c r="B625" s="16"/>
      <c r="C625" s="23"/>
      <c r="D625" s="24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8.75" customHeight="1" x14ac:dyDescent="0.2">
      <c r="A626" s="22"/>
      <c r="B626" s="16"/>
      <c r="C626" s="23"/>
      <c r="D626" s="24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8.75" customHeight="1" x14ac:dyDescent="0.2">
      <c r="A627" s="22"/>
      <c r="B627" s="16"/>
      <c r="C627" s="23"/>
      <c r="D627" s="24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8.75" customHeight="1" x14ac:dyDescent="0.2">
      <c r="A628" s="22"/>
      <c r="B628" s="16"/>
      <c r="C628" s="23"/>
      <c r="D628" s="24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8.75" customHeight="1" x14ac:dyDescent="0.2">
      <c r="A629" s="22"/>
      <c r="B629" s="16"/>
      <c r="C629" s="23"/>
      <c r="D629" s="24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8.75" customHeight="1" x14ac:dyDescent="0.2">
      <c r="A630" s="22"/>
      <c r="B630" s="16"/>
      <c r="C630" s="23"/>
      <c r="D630" s="24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8.75" customHeight="1" x14ac:dyDescent="0.2">
      <c r="A631" s="22"/>
      <c r="B631" s="16"/>
      <c r="C631" s="23"/>
      <c r="D631" s="24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8.75" customHeight="1" x14ac:dyDescent="0.2">
      <c r="A632" s="22"/>
      <c r="B632" s="16"/>
      <c r="C632" s="23"/>
      <c r="D632" s="24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8.75" customHeight="1" x14ac:dyDescent="0.2">
      <c r="A633" s="22"/>
      <c r="B633" s="16"/>
      <c r="C633" s="23"/>
      <c r="D633" s="24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8.75" customHeight="1" x14ac:dyDescent="0.2">
      <c r="A634" s="22"/>
      <c r="B634" s="16"/>
      <c r="C634" s="23"/>
      <c r="D634" s="24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8.75" customHeight="1" x14ac:dyDescent="0.2">
      <c r="A635" s="22"/>
      <c r="B635" s="16"/>
      <c r="C635" s="23"/>
      <c r="D635" s="24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8.75" customHeight="1" x14ac:dyDescent="0.2">
      <c r="A636" s="22"/>
      <c r="B636" s="16"/>
      <c r="C636" s="23"/>
      <c r="D636" s="24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8.75" customHeight="1" x14ac:dyDescent="0.2">
      <c r="A637" s="22"/>
      <c r="B637" s="16"/>
      <c r="C637" s="23"/>
      <c r="D637" s="24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8.75" customHeight="1" x14ac:dyDescent="0.2">
      <c r="A638" s="22"/>
      <c r="B638" s="16"/>
      <c r="C638" s="23"/>
      <c r="D638" s="24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8.75" customHeight="1" x14ac:dyDescent="0.2">
      <c r="A639" s="22"/>
      <c r="B639" s="16"/>
      <c r="C639" s="23"/>
      <c r="D639" s="24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8.75" customHeight="1" x14ac:dyDescent="0.2">
      <c r="A640" s="22"/>
      <c r="B640" s="16"/>
      <c r="C640" s="23"/>
      <c r="D640" s="24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8.75" customHeight="1" x14ac:dyDescent="0.2">
      <c r="A641" s="22"/>
      <c r="B641" s="16"/>
      <c r="C641" s="23"/>
      <c r="D641" s="24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8.75" customHeight="1" x14ac:dyDescent="0.2">
      <c r="A642" s="22"/>
      <c r="B642" s="16"/>
      <c r="C642" s="23"/>
      <c r="D642" s="24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8.75" customHeight="1" x14ac:dyDescent="0.2">
      <c r="A643" s="22"/>
      <c r="B643" s="16"/>
      <c r="C643" s="23"/>
      <c r="D643" s="24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8.75" customHeight="1" x14ac:dyDescent="0.2">
      <c r="A644" s="22"/>
      <c r="B644" s="16"/>
      <c r="C644" s="23"/>
      <c r="D644" s="24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8.75" customHeight="1" x14ac:dyDescent="0.2">
      <c r="A645" s="22"/>
      <c r="B645" s="16"/>
      <c r="C645" s="23"/>
      <c r="D645" s="24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8.75" customHeight="1" x14ac:dyDescent="0.2">
      <c r="A646" s="22"/>
      <c r="B646" s="16"/>
      <c r="C646" s="23"/>
      <c r="D646" s="24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8.75" customHeight="1" x14ac:dyDescent="0.2">
      <c r="A647" s="22"/>
      <c r="B647" s="16"/>
      <c r="C647" s="23"/>
      <c r="D647" s="24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8.75" customHeight="1" x14ac:dyDescent="0.2">
      <c r="A648" s="22"/>
      <c r="B648" s="16"/>
      <c r="C648" s="23"/>
      <c r="D648" s="24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8.75" customHeight="1" x14ac:dyDescent="0.2">
      <c r="A649" s="22"/>
      <c r="B649" s="16"/>
      <c r="C649" s="23"/>
      <c r="D649" s="24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8.75" customHeight="1" x14ac:dyDescent="0.2">
      <c r="A650" s="22"/>
      <c r="B650" s="16"/>
      <c r="C650" s="23"/>
      <c r="D650" s="24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8.75" customHeight="1" x14ac:dyDescent="0.2">
      <c r="A651" s="22"/>
      <c r="B651" s="16"/>
      <c r="C651" s="23"/>
      <c r="D651" s="24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8.75" customHeight="1" x14ac:dyDescent="0.2">
      <c r="A652" s="22"/>
      <c r="B652" s="16"/>
      <c r="C652" s="23"/>
      <c r="D652" s="24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8.75" customHeight="1" x14ac:dyDescent="0.2">
      <c r="A653" s="22"/>
      <c r="B653" s="16"/>
      <c r="C653" s="23"/>
      <c r="D653" s="24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8.75" customHeight="1" x14ac:dyDescent="0.2">
      <c r="A654" s="22"/>
      <c r="B654" s="16"/>
      <c r="C654" s="23"/>
      <c r="D654" s="24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8.75" customHeight="1" x14ac:dyDescent="0.2">
      <c r="A655" s="22"/>
      <c r="B655" s="16"/>
      <c r="C655" s="23"/>
      <c r="D655" s="24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8.75" customHeight="1" x14ac:dyDescent="0.2">
      <c r="A656" s="22"/>
      <c r="B656" s="16"/>
      <c r="C656" s="23"/>
      <c r="D656" s="24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8.75" customHeight="1" x14ac:dyDescent="0.2">
      <c r="A657" s="22"/>
      <c r="B657" s="16"/>
      <c r="C657" s="23"/>
      <c r="D657" s="24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8.75" customHeight="1" x14ac:dyDescent="0.2">
      <c r="A658" s="22"/>
      <c r="B658" s="16"/>
      <c r="C658" s="23"/>
      <c r="D658" s="24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8.75" customHeight="1" x14ac:dyDescent="0.2">
      <c r="A659" s="22"/>
      <c r="B659" s="16"/>
      <c r="C659" s="23"/>
      <c r="D659" s="24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8.75" customHeight="1" x14ac:dyDescent="0.2">
      <c r="A660" s="22"/>
      <c r="B660" s="16"/>
      <c r="C660" s="23"/>
      <c r="D660" s="24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8.75" customHeight="1" x14ac:dyDescent="0.2">
      <c r="A661" s="22"/>
      <c r="B661" s="16"/>
      <c r="C661" s="23"/>
      <c r="D661" s="24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8.75" customHeight="1" x14ac:dyDescent="0.2">
      <c r="A662" s="22"/>
      <c r="B662" s="16"/>
      <c r="C662" s="23"/>
      <c r="D662" s="24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8.75" customHeight="1" x14ac:dyDescent="0.2">
      <c r="A663" s="22"/>
      <c r="B663" s="16"/>
      <c r="C663" s="23"/>
      <c r="D663" s="24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8.75" customHeight="1" x14ac:dyDescent="0.2">
      <c r="A664" s="22"/>
      <c r="B664" s="16"/>
      <c r="C664" s="23"/>
      <c r="D664" s="24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8.75" customHeight="1" x14ac:dyDescent="0.2">
      <c r="A665" s="22"/>
      <c r="B665" s="16"/>
      <c r="C665" s="23"/>
      <c r="D665" s="24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8.75" customHeight="1" x14ac:dyDescent="0.2">
      <c r="A666" s="22"/>
      <c r="B666" s="16"/>
      <c r="C666" s="23"/>
      <c r="D666" s="24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8.75" customHeight="1" x14ac:dyDescent="0.2">
      <c r="A667" s="22"/>
      <c r="B667" s="16"/>
      <c r="C667" s="23"/>
      <c r="D667" s="24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8.75" customHeight="1" x14ac:dyDescent="0.2">
      <c r="A668" s="22"/>
      <c r="B668" s="16"/>
      <c r="C668" s="23"/>
      <c r="D668" s="24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8.75" customHeight="1" x14ac:dyDescent="0.2">
      <c r="A669" s="22"/>
      <c r="B669" s="16"/>
      <c r="C669" s="23"/>
      <c r="D669" s="24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8.75" customHeight="1" x14ac:dyDescent="0.2">
      <c r="A670" s="22"/>
      <c r="B670" s="16"/>
      <c r="C670" s="23"/>
      <c r="D670" s="24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8.75" customHeight="1" x14ac:dyDescent="0.2">
      <c r="A671" s="22"/>
      <c r="B671" s="16"/>
      <c r="C671" s="23"/>
      <c r="D671" s="24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8.75" customHeight="1" x14ac:dyDescent="0.2">
      <c r="A672" s="22"/>
      <c r="B672" s="16"/>
      <c r="C672" s="23"/>
      <c r="D672" s="24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8.75" customHeight="1" x14ac:dyDescent="0.2">
      <c r="A673" s="22"/>
      <c r="B673" s="16"/>
      <c r="C673" s="23"/>
      <c r="D673" s="24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8.75" customHeight="1" x14ac:dyDescent="0.2">
      <c r="A674" s="22"/>
      <c r="B674" s="16"/>
      <c r="C674" s="23"/>
      <c r="D674" s="24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8.75" customHeight="1" x14ac:dyDescent="0.2">
      <c r="A675" s="22"/>
      <c r="B675" s="16"/>
      <c r="C675" s="23"/>
      <c r="D675" s="24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8.75" customHeight="1" x14ac:dyDescent="0.2">
      <c r="A676" s="22"/>
      <c r="B676" s="16"/>
      <c r="C676" s="23"/>
      <c r="D676" s="24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8.75" customHeight="1" x14ac:dyDescent="0.2">
      <c r="A677" s="22"/>
      <c r="B677" s="16"/>
      <c r="C677" s="23"/>
      <c r="D677" s="24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8.75" customHeight="1" x14ac:dyDescent="0.2">
      <c r="A678" s="22"/>
      <c r="B678" s="16"/>
      <c r="C678" s="23"/>
      <c r="D678" s="24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8.75" customHeight="1" x14ac:dyDescent="0.2">
      <c r="A679" s="22"/>
      <c r="B679" s="16"/>
      <c r="C679" s="23"/>
      <c r="D679" s="24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8.75" customHeight="1" x14ac:dyDescent="0.2">
      <c r="A680" s="22"/>
      <c r="B680" s="16"/>
      <c r="C680" s="23"/>
      <c r="D680" s="24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8.75" customHeight="1" x14ac:dyDescent="0.2">
      <c r="A681" s="22"/>
      <c r="B681" s="16"/>
      <c r="C681" s="23"/>
      <c r="D681" s="24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8.75" customHeight="1" x14ac:dyDescent="0.2">
      <c r="A682" s="22"/>
      <c r="B682" s="16"/>
      <c r="C682" s="23"/>
      <c r="D682" s="24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8.75" customHeight="1" x14ac:dyDescent="0.2">
      <c r="A683" s="22"/>
      <c r="B683" s="16"/>
      <c r="C683" s="23"/>
      <c r="D683" s="24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8.75" customHeight="1" x14ac:dyDescent="0.2">
      <c r="A684" s="22"/>
      <c r="B684" s="16"/>
      <c r="C684" s="23"/>
      <c r="D684" s="24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8.75" customHeight="1" x14ac:dyDescent="0.2">
      <c r="A685" s="22"/>
      <c r="B685" s="16"/>
      <c r="C685" s="23"/>
      <c r="D685" s="24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8.75" customHeight="1" x14ac:dyDescent="0.2">
      <c r="A686" s="22"/>
      <c r="B686" s="16"/>
      <c r="C686" s="23"/>
      <c r="D686" s="24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8.75" customHeight="1" x14ac:dyDescent="0.2">
      <c r="A687" s="22"/>
      <c r="B687" s="16"/>
      <c r="C687" s="23"/>
      <c r="D687" s="24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8.75" customHeight="1" x14ac:dyDescent="0.2">
      <c r="A688" s="22"/>
      <c r="B688" s="16"/>
      <c r="C688" s="23"/>
      <c r="D688" s="24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8.75" customHeight="1" x14ac:dyDescent="0.2">
      <c r="A689" s="22"/>
      <c r="B689" s="16"/>
      <c r="C689" s="23"/>
      <c r="D689" s="24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8.75" customHeight="1" x14ac:dyDescent="0.2">
      <c r="A690" s="22"/>
      <c r="B690" s="16"/>
      <c r="C690" s="23"/>
      <c r="D690" s="24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8.75" customHeight="1" x14ac:dyDescent="0.2">
      <c r="A691" s="22"/>
      <c r="B691" s="16"/>
      <c r="C691" s="23"/>
      <c r="D691" s="24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8.75" customHeight="1" x14ac:dyDescent="0.2">
      <c r="A692" s="22"/>
      <c r="B692" s="16"/>
      <c r="C692" s="23"/>
      <c r="D692" s="24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8.75" customHeight="1" x14ac:dyDescent="0.2">
      <c r="A693" s="22"/>
      <c r="B693" s="16"/>
      <c r="C693" s="23"/>
      <c r="D693" s="24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8.75" customHeight="1" x14ac:dyDescent="0.2">
      <c r="A694" s="22"/>
      <c r="B694" s="16"/>
      <c r="C694" s="23"/>
      <c r="D694" s="24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8.75" customHeight="1" x14ac:dyDescent="0.2">
      <c r="A695" s="22"/>
      <c r="B695" s="16"/>
      <c r="C695" s="23"/>
      <c r="D695" s="24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8.75" customHeight="1" x14ac:dyDescent="0.2">
      <c r="A696" s="22"/>
      <c r="B696" s="16"/>
      <c r="C696" s="23"/>
      <c r="D696" s="24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8.75" customHeight="1" x14ac:dyDescent="0.2">
      <c r="A697" s="22"/>
      <c r="B697" s="16"/>
      <c r="C697" s="23"/>
      <c r="D697" s="24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8.75" customHeight="1" x14ac:dyDescent="0.2">
      <c r="A698" s="22"/>
      <c r="B698" s="16"/>
      <c r="C698" s="23"/>
      <c r="D698" s="24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8.75" customHeight="1" x14ac:dyDescent="0.2">
      <c r="A699" s="22"/>
      <c r="B699" s="16"/>
      <c r="C699" s="23"/>
      <c r="D699" s="24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8.75" customHeight="1" x14ac:dyDescent="0.2">
      <c r="A700" s="22"/>
      <c r="B700" s="16"/>
      <c r="C700" s="23"/>
      <c r="D700" s="24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8.75" customHeight="1" x14ac:dyDescent="0.2">
      <c r="A701" s="22"/>
      <c r="B701" s="16"/>
      <c r="C701" s="23"/>
      <c r="D701" s="24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8.75" customHeight="1" x14ac:dyDescent="0.2">
      <c r="A702" s="22"/>
      <c r="B702" s="16"/>
      <c r="C702" s="23"/>
      <c r="D702" s="24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8.75" customHeight="1" x14ac:dyDescent="0.2">
      <c r="A703" s="22"/>
      <c r="B703" s="16"/>
      <c r="C703" s="23"/>
      <c r="D703" s="24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8.75" customHeight="1" x14ac:dyDescent="0.2">
      <c r="A704" s="22"/>
      <c r="B704" s="16"/>
      <c r="C704" s="23"/>
      <c r="D704" s="24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8.75" customHeight="1" x14ac:dyDescent="0.2">
      <c r="A705" s="22"/>
      <c r="B705" s="16"/>
      <c r="C705" s="23"/>
      <c r="D705" s="24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8.75" customHeight="1" x14ac:dyDescent="0.2">
      <c r="A706" s="22"/>
      <c r="B706" s="16"/>
      <c r="C706" s="23"/>
      <c r="D706" s="24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8.75" customHeight="1" x14ac:dyDescent="0.2">
      <c r="A707" s="22"/>
      <c r="B707" s="16"/>
      <c r="C707" s="23"/>
      <c r="D707" s="24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8.75" customHeight="1" x14ac:dyDescent="0.2">
      <c r="A708" s="22"/>
      <c r="B708" s="16"/>
      <c r="C708" s="23"/>
      <c r="D708" s="24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8.75" customHeight="1" x14ac:dyDescent="0.2">
      <c r="A709" s="22"/>
      <c r="B709" s="16"/>
      <c r="C709" s="23"/>
      <c r="D709" s="24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8.75" customHeight="1" x14ac:dyDescent="0.2">
      <c r="A710" s="22"/>
      <c r="B710" s="16"/>
      <c r="C710" s="23"/>
      <c r="D710" s="24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8.75" customHeight="1" x14ac:dyDescent="0.2">
      <c r="A711" s="22"/>
      <c r="B711" s="16"/>
      <c r="C711" s="23"/>
      <c r="D711" s="24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8.75" customHeight="1" x14ac:dyDescent="0.2">
      <c r="A712" s="22"/>
      <c r="B712" s="16"/>
      <c r="C712" s="23"/>
      <c r="D712" s="24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8.75" customHeight="1" x14ac:dyDescent="0.2">
      <c r="A713" s="22"/>
      <c r="B713" s="16"/>
      <c r="C713" s="23"/>
      <c r="D713" s="24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8.75" customHeight="1" x14ac:dyDescent="0.2">
      <c r="A714" s="22"/>
      <c r="B714" s="16"/>
      <c r="C714" s="23"/>
      <c r="D714" s="24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8.75" customHeight="1" x14ac:dyDescent="0.2">
      <c r="A715" s="22"/>
      <c r="B715" s="16"/>
      <c r="C715" s="23"/>
      <c r="D715" s="24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8.75" customHeight="1" x14ac:dyDescent="0.2">
      <c r="A716" s="22"/>
      <c r="B716" s="16"/>
      <c r="C716" s="23"/>
      <c r="D716" s="24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8.75" customHeight="1" x14ac:dyDescent="0.2">
      <c r="A717" s="22"/>
      <c r="B717" s="16"/>
      <c r="C717" s="23"/>
      <c r="D717" s="24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8.75" customHeight="1" x14ac:dyDescent="0.2">
      <c r="A718" s="22"/>
      <c r="B718" s="16"/>
      <c r="C718" s="23"/>
      <c r="D718" s="24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8.75" customHeight="1" x14ac:dyDescent="0.2">
      <c r="A719" s="22"/>
      <c r="B719" s="16"/>
      <c r="C719" s="23"/>
      <c r="D719" s="24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8.75" customHeight="1" x14ac:dyDescent="0.2">
      <c r="A720" s="22"/>
      <c r="B720" s="16"/>
      <c r="C720" s="23"/>
      <c r="D720" s="24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8.75" customHeight="1" x14ac:dyDescent="0.2">
      <c r="A721" s="22"/>
      <c r="B721" s="16"/>
      <c r="C721" s="23"/>
      <c r="D721" s="24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8.75" customHeight="1" x14ac:dyDescent="0.2">
      <c r="A722" s="22"/>
      <c r="B722" s="16"/>
      <c r="C722" s="23"/>
      <c r="D722" s="24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8.75" customHeight="1" x14ac:dyDescent="0.2">
      <c r="A723" s="22"/>
      <c r="B723" s="16"/>
      <c r="C723" s="23"/>
      <c r="D723" s="24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8.75" customHeight="1" x14ac:dyDescent="0.2">
      <c r="A724" s="22"/>
      <c r="B724" s="16"/>
      <c r="C724" s="23"/>
      <c r="D724" s="24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8.75" customHeight="1" x14ac:dyDescent="0.2">
      <c r="A725" s="22"/>
      <c r="B725" s="16"/>
      <c r="C725" s="23"/>
      <c r="D725" s="24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8.75" customHeight="1" x14ac:dyDescent="0.2">
      <c r="A726" s="22"/>
      <c r="B726" s="16"/>
      <c r="C726" s="23"/>
      <c r="D726" s="24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8.75" customHeight="1" x14ac:dyDescent="0.2">
      <c r="A727" s="22"/>
      <c r="B727" s="16"/>
      <c r="C727" s="23"/>
      <c r="D727" s="24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8.75" customHeight="1" x14ac:dyDescent="0.2">
      <c r="A728" s="22"/>
      <c r="B728" s="16"/>
      <c r="C728" s="23"/>
      <c r="D728" s="24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8.75" customHeight="1" x14ac:dyDescent="0.2">
      <c r="A729" s="22"/>
      <c r="B729" s="16"/>
      <c r="C729" s="23"/>
      <c r="D729" s="24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8.75" customHeight="1" x14ac:dyDescent="0.2">
      <c r="A730" s="22"/>
      <c r="B730" s="16"/>
      <c r="C730" s="23"/>
      <c r="D730" s="24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8.75" customHeight="1" x14ac:dyDescent="0.2">
      <c r="A731" s="22"/>
      <c r="B731" s="16"/>
      <c r="C731" s="23"/>
      <c r="D731" s="24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8.75" customHeight="1" x14ac:dyDescent="0.2">
      <c r="A732" s="22"/>
      <c r="B732" s="16"/>
      <c r="C732" s="23"/>
      <c r="D732" s="24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8.75" customHeight="1" x14ac:dyDescent="0.2">
      <c r="A733" s="22"/>
      <c r="B733" s="16"/>
      <c r="C733" s="23"/>
      <c r="D733" s="24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8.75" customHeight="1" x14ac:dyDescent="0.2">
      <c r="A734" s="22"/>
      <c r="B734" s="16"/>
      <c r="C734" s="23"/>
      <c r="D734" s="24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8.75" customHeight="1" x14ac:dyDescent="0.2">
      <c r="A735" s="22"/>
      <c r="B735" s="16"/>
      <c r="C735" s="23"/>
      <c r="D735" s="24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8.75" customHeight="1" x14ac:dyDescent="0.2">
      <c r="A736" s="22"/>
      <c r="B736" s="16"/>
      <c r="C736" s="23"/>
      <c r="D736" s="24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8.75" customHeight="1" x14ac:dyDescent="0.2">
      <c r="A737" s="22"/>
      <c r="B737" s="16"/>
      <c r="C737" s="23"/>
      <c r="D737" s="24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8.75" customHeight="1" x14ac:dyDescent="0.2">
      <c r="A738" s="22"/>
      <c r="B738" s="16"/>
      <c r="C738" s="23"/>
      <c r="D738" s="24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8.75" customHeight="1" x14ac:dyDescent="0.2">
      <c r="A739" s="22"/>
      <c r="B739" s="16"/>
      <c r="C739" s="23"/>
      <c r="D739" s="24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8.75" customHeight="1" x14ac:dyDescent="0.2">
      <c r="A740" s="22"/>
      <c r="B740" s="16"/>
      <c r="C740" s="23"/>
      <c r="D740" s="24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8.75" customHeight="1" x14ac:dyDescent="0.2">
      <c r="A741" s="22"/>
      <c r="B741" s="16"/>
      <c r="C741" s="23"/>
      <c r="D741" s="24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8.75" customHeight="1" x14ac:dyDescent="0.2">
      <c r="A742" s="22"/>
      <c r="B742" s="16"/>
      <c r="C742" s="23"/>
      <c r="D742" s="24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8.75" customHeight="1" x14ac:dyDescent="0.2">
      <c r="A743" s="22"/>
      <c r="B743" s="16"/>
      <c r="C743" s="23"/>
      <c r="D743" s="24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8.75" customHeight="1" x14ac:dyDescent="0.2">
      <c r="A744" s="22"/>
      <c r="B744" s="16"/>
      <c r="C744" s="23"/>
      <c r="D744" s="24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8.75" customHeight="1" x14ac:dyDescent="0.2">
      <c r="A745" s="22"/>
      <c r="B745" s="16"/>
      <c r="C745" s="23"/>
      <c r="D745" s="24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8.75" customHeight="1" x14ac:dyDescent="0.2">
      <c r="A746" s="22"/>
      <c r="B746" s="16"/>
      <c r="C746" s="23"/>
      <c r="D746" s="24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8.75" customHeight="1" x14ac:dyDescent="0.2">
      <c r="A747" s="22"/>
      <c r="B747" s="16"/>
      <c r="C747" s="23"/>
      <c r="D747" s="24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8.75" customHeight="1" x14ac:dyDescent="0.2">
      <c r="A748" s="22"/>
      <c r="B748" s="16"/>
      <c r="C748" s="23"/>
      <c r="D748" s="24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8.75" customHeight="1" x14ac:dyDescent="0.2">
      <c r="A749" s="22"/>
      <c r="B749" s="16"/>
      <c r="C749" s="23"/>
      <c r="D749" s="24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8.75" customHeight="1" x14ac:dyDescent="0.2">
      <c r="A750" s="22"/>
      <c r="B750" s="16"/>
      <c r="C750" s="23"/>
      <c r="D750" s="24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8.75" customHeight="1" x14ac:dyDescent="0.2">
      <c r="A751" s="22"/>
      <c r="B751" s="16"/>
      <c r="C751" s="23"/>
      <c r="D751" s="24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8.75" customHeight="1" x14ac:dyDescent="0.2">
      <c r="A752" s="22"/>
      <c r="B752" s="16"/>
      <c r="C752" s="23"/>
      <c r="D752" s="24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8.75" customHeight="1" x14ac:dyDescent="0.2">
      <c r="A753" s="22"/>
      <c r="B753" s="16"/>
      <c r="C753" s="23"/>
      <c r="D753" s="24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8.75" customHeight="1" x14ac:dyDescent="0.2">
      <c r="A754" s="22"/>
      <c r="B754" s="16"/>
      <c r="C754" s="23"/>
      <c r="D754" s="24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8.75" customHeight="1" x14ac:dyDescent="0.2">
      <c r="A755" s="22"/>
      <c r="B755" s="16"/>
      <c r="C755" s="23"/>
      <c r="D755" s="24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8.75" customHeight="1" x14ac:dyDescent="0.2">
      <c r="A756" s="22"/>
      <c r="B756" s="16"/>
      <c r="C756" s="23"/>
      <c r="D756" s="24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8.75" customHeight="1" x14ac:dyDescent="0.2">
      <c r="A757" s="22"/>
      <c r="B757" s="16"/>
      <c r="C757" s="23"/>
      <c r="D757" s="24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8.75" customHeight="1" x14ac:dyDescent="0.2">
      <c r="A758" s="22"/>
      <c r="B758" s="16"/>
      <c r="C758" s="23"/>
      <c r="D758" s="24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8.75" customHeight="1" x14ac:dyDescent="0.2">
      <c r="A759" s="22"/>
      <c r="B759" s="16"/>
      <c r="C759" s="23"/>
      <c r="D759" s="24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8.75" customHeight="1" x14ac:dyDescent="0.2">
      <c r="A760" s="22"/>
      <c r="B760" s="16"/>
      <c r="C760" s="23"/>
      <c r="D760" s="24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8.75" customHeight="1" x14ac:dyDescent="0.2">
      <c r="A761" s="22"/>
      <c r="B761" s="16"/>
      <c r="C761" s="23"/>
      <c r="D761" s="24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8.75" customHeight="1" x14ac:dyDescent="0.2">
      <c r="A762" s="22"/>
      <c r="B762" s="16"/>
      <c r="C762" s="23"/>
      <c r="D762" s="24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8.75" customHeight="1" x14ac:dyDescent="0.2">
      <c r="A763" s="22"/>
      <c r="B763" s="16"/>
      <c r="C763" s="23"/>
      <c r="D763" s="24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8.75" customHeight="1" x14ac:dyDescent="0.2">
      <c r="A764" s="22"/>
      <c r="B764" s="16"/>
      <c r="C764" s="23"/>
      <c r="D764" s="24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8.75" customHeight="1" x14ac:dyDescent="0.2">
      <c r="A765" s="22"/>
      <c r="B765" s="16"/>
      <c r="C765" s="23"/>
      <c r="D765" s="24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8.75" customHeight="1" x14ac:dyDescent="0.2">
      <c r="A766" s="22"/>
      <c r="B766" s="16"/>
      <c r="C766" s="23"/>
      <c r="D766" s="24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8.75" customHeight="1" x14ac:dyDescent="0.2">
      <c r="A767" s="22"/>
      <c r="B767" s="16"/>
      <c r="C767" s="23"/>
      <c r="D767" s="24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8.75" customHeight="1" x14ac:dyDescent="0.2">
      <c r="A768" s="22"/>
      <c r="B768" s="16"/>
      <c r="C768" s="23"/>
      <c r="D768" s="24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8.75" customHeight="1" x14ac:dyDescent="0.2">
      <c r="A769" s="22"/>
      <c r="B769" s="16"/>
      <c r="C769" s="23"/>
      <c r="D769" s="24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8.75" customHeight="1" x14ac:dyDescent="0.2">
      <c r="A770" s="22"/>
      <c r="B770" s="16"/>
      <c r="C770" s="23"/>
      <c r="D770" s="24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8.75" customHeight="1" x14ac:dyDescent="0.2">
      <c r="A771" s="22"/>
      <c r="B771" s="16"/>
      <c r="C771" s="23"/>
      <c r="D771" s="24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8.75" customHeight="1" x14ac:dyDescent="0.2">
      <c r="A772" s="22"/>
      <c r="B772" s="16"/>
      <c r="C772" s="23"/>
      <c r="D772" s="24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8.75" customHeight="1" x14ac:dyDescent="0.2">
      <c r="A773" s="22"/>
      <c r="B773" s="16"/>
      <c r="C773" s="23"/>
      <c r="D773" s="24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8.75" customHeight="1" x14ac:dyDescent="0.2">
      <c r="A774" s="22"/>
      <c r="B774" s="16"/>
      <c r="C774" s="23"/>
      <c r="D774" s="24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8.75" customHeight="1" x14ac:dyDescent="0.2">
      <c r="A775" s="22"/>
      <c r="B775" s="16"/>
      <c r="C775" s="23"/>
      <c r="D775" s="24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8.75" customHeight="1" x14ac:dyDescent="0.2">
      <c r="A776" s="22"/>
      <c r="B776" s="16"/>
      <c r="C776" s="23"/>
      <c r="D776" s="24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8.75" customHeight="1" x14ac:dyDescent="0.2">
      <c r="A777" s="22"/>
      <c r="B777" s="16"/>
      <c r="C777" s="23"/>
      <c r="D777" s="24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8.75" customHeight="1" x14ac:dyDescent="0.2">
      <c r="A778" s="22"/>
      <c r="B778" s="16"/>
      <c r="C778" s="23"/>
      <c r="D778" s="24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8.75" customHeight="1" x14ac:dyDescent="0.2">
      <c r="A779" s="22"/>
      <c r="B779" s="16"/>
      <c r="C779" s="23"/>
      <c r="D779" s="24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8.75" customHeight="1" x14ac:dyDescent="0.2">
      <c r="A780" s="22"/>
      <c r="B780" s="16"/>
      <c r="C780" s="23"/>
      <c r="D780" s="24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8.75" customHeight="1" x14ac:dyDescent="0.2">
      <c r="A781" s="22"/>
      <c r="B781" s="16"/>
      <c r="C781" s="23"/>
      <c r="D781" s="24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8.75" customHeight="1" x14ac:dyDescent="0.2">
      <c r="A782" s="22"/>
      <c r="B782" s="16"/>
      <c r="C782" s="23"/>
      <c r="D782" s="24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8.75" customHeight="1" x14ac:dyDescent="0.2">
      <c r="A783" s="22"/>
      <c r="B783" s="16"/>
      <c r="C783" s="23"/>
      <c r="D783" s="24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8.75" customHeight="1" x14ac:dyDescent="0.2">
      <c r="A784" s="22"/>
      <c r="B784" s="16"/>
      <c r="C784" s="23"/>
      <c r="D784" s="24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8.75" customHeight="1" x14ac:dyDescent="0.2">
      <c r="A785" s="22"/>
      <c r="B785" s="16"/>
      <c r="C785" s="23"/>
      <c r="D785" s="24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8.75" customHeight="1" x14ac:dyDescent="0.2">
      <c r="A786" s="22"/>
      <c r="B786" s="16"/>
      <c r="C786" s="23"/>
      <c r="D786" s="24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8.75" customHeight="1" x14ac:dyDescent="0.2">
      <c r="A787" s="22"/>
      <c r="B787" s="16"/>
      <c r="C787" s="23"/>
      <c r="D787" s="24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8.75" customHeight="1" x14ac:dyDescent="0.2">
      <c r="A788" s="22"/>
      <c r="B788" s="16"/>
      <c r="C788" s="23"/>
      <c r="D788" s="24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8.75" customHeight="1" x14ac:dyDescent="0.2">
      <c r="A789" s="22"/>
      <c r="B789" s="16"/>
      <c r="C789" s="23"/>
      <c r="D789" s="24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8.75" customHeight="1" x14ac:dyDescent="0.2">
      <c r="A790" s="22"/>
      <c r="B790" s="16"/>
      <c r="C790" s="23"/>
      <c r="D790" s="24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8.75" customHeight="1" x14ac:dyDescent="0.2">
      <c r="A791" s="22"/>
      <c r="B791" s="16"/>
      <c r="C791" s="23"/>
      <c r="D791" s="24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8.75" customHeight="1" x14ac:dyDescent="0.2">
      <c r="A792" s="22"/>
      <c r="B792" s="16"/>
      <c r="C792" s="23"/>
      <c r="D792" s="24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8.75" customHeight="1" x14ac:dyDescent="0.2">
      <c r="A793" s="22"/>
      <c r="B793" s="16"/>
      <c r="C793" s="23"/>
      <c r="D793" s="24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8.75" customHeight="1" x14ac:dyDescent="0.2">
      <c r="A794" s="22"/>
      <c r="B794" s="16"/>
      <c r="C794" s="23"/>
      <c r="D794" s="24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8.75" customHeight="1" x14ac:dyDescent="0.2">
      <c r="A795" s="22"/>
      <c r="B795" s="16"/>
      <c r="C795" s="23"/>
      <c r="D795" s="24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8.75" customHeight="1" x14ac:dyDescent="0.2">
      <c r="A796" s="22"/>
      <c r="B796" s="16"/>
      <c r="C796" s="23"/>
      <c r="D796" s="24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8.75" customHeight="1" x14ac:dyDescent="0.2">
      <c r="A797" s="22"/>
      <c r="B797" s="16"/>
      <c r="C797" s="23"/>
      <c r="D797" s="24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8.75" customHeight="1" x14ac:dyDescent="0.2">
      <c r="A798" s="22"/>
      <c r="B798" s="16"/>
      <c r="C798" s="23"/>
      <c r="D798" s="24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8.75" customHeight="1" x14ac:dyDescent="0.2">
      <c r="A799" s="22"/>
      <c r="B799" s="16"/>
      <c r="C799" s="23"/>
      <c r="D799" s="24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8.75" customHeight="1" x14ac:dyDescent="0.2">
      <c r="A800" s="22"/>
      <c r="B800" s="16"/>
      <c r="C800" s="23"/>
      <c r="D800" s="24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8.75" customHeight="1" x14ac:dyDescent="0.2">
      <c r="A801" s="22"/>
      <c r="B801" s="16"/>
      <c r="C801" s="23"/>
      <c r="D801" s="24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8.75" customHeight="1" x14ac:dyDescent="0.2">
      <c r="A802" s="22"/>
      <c r="B802" s="16"/>
      <c r="C802" s="23"/>
      <c r="D802" s="24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8.75" customHeight="1" x14ac:dyDescent="0.2">
      <c r="A803" s="22"/>
      <c r="B803" s="16"/>
      <c r="C803" s="23"/>
      <c r="D803" s="24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8.75" customHeight="1" x14ac:dyDescent="0.2">
      <c r="A804" s="22"/>
      <c r="B804" s="16"/>
      <c r="C804" s="23"/>
      <c r="D804" s="24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8.75" customHeight="1" x14ac:dyDescent="0.2">
      <c r="A805" s="22"/>
      <c r="B805" s="16"/>
      <c r="C805" s="23"/>
      <c r="D805" s="24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8.75" customHeight="1" x14ac:dyDescent="0.2">
      <c r="A806" s="22"/>
      <c r="B806" s="16"/>
      <c r="C806" s="23"/>
      <c r="D806" s="24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8.75" customHeight="1" x14ac:dyDescent="0.2">
      <c r="A807" s="22"/>
      <c r="B807" s="16"/>
      <c r="C807" s="23"/>
      <c r="D807" s="24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8.75" customHeight="1" x14ac:dyDescent="0.2">
      <c r="A808" s="22"/>
      <c r="B808" s="16"/>
      <c r="C808" s="23"/>
      <c r="D808" s="24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8.75" customHeight="1" x14ac:dyDescent="0.2">
      <c r="A809" s="22"/>
      <c r="B809" s="16"/>
      <c r="C809" s="23"/>
      <c r="D809" s="24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8.75" customHeight="1" x14ac:dyDescent="0.2">
      <c r="A810" s="22"/>
      <c r="B810" s="16"/>
      <c r="C810" s="23"/>
      <c r="D810" s="24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8.75" customHeight="1" x14ac:dyDescent="0.2">
      <c r="A811" s="22"/>
      <c r="B811" s="16"/>
      <c r="C811" s="23"/>
      <c r="D811" s="24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8.75" customHeight="1" x14ac:dyDescent="0.2">
      <c r="A812" s="22"/>
      <c r="B812" s="16"/>
      <c r="C812" s="23"/>
      <c r="D812" s="24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8.75" customHeight="1" x14ac:dyDescent="0.2">
      <c r="A813" s="22"/>
      <c r="B813" s="16"/>
      <c r="C813" s="23"/>
      <c r="D813" s="24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8.75" customHeight="1" x14ac:dyDescent="0.2">
      <c r="A814" s="22"/>
      <c r="B814" s="16"/>
      <c r="C814" s="23"/>
      <c r="D814" s="24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8.75" customHeight="1" x14ac:dyDescent="0.2">
      <c r="A815" s="22"/>
      <c r="B815" s="16"/>
      <c r="C815" s="23"/>
      <c r="D815" s="24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8.75" customHeight="1" x14ac:dyDescent="0.2">
      <c r="A816" s="22"/>
      <c r="B816" s="16"/>
      <c r="C816" s="23"/>
      <c r="D816" s="24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8.75" customHeight="1" x14ac:dyDescent="0.2">
      <c r="A817" s="22"/>
      <c r="B817" s="16"/>
      <c r="C817" s="23"/>
      <c r="D817" s="24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8.75" customHeight="1" x14ac:dyDescent="0.2">
      <c r="A818" s="22"/>
      <c r="B818" s="16"/>
      <c r="C818" s="23"/>
      <c r="D818" s="24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8.75" customHeight="1" x14ac:dyDescent="0.2">
      <c r="A819" s="22"/>
      <c r="B819" s="16"/>
      <c r="C819" s="23"/>
      <c r="D819" s="24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8.75" customHeight="1" x14ac:dyDescent="0.2">
      <c r="A820" s="22"/>
      <c r="B820" s="16"/>
      <c r="C820" s="23"/>
      <c r="D820" s="24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8.75" customHeight="1" x14ac:dyDescent="0.2">
      <c r="A821" s="22"/>
      <c r="B821" s="16"/>
      <c r="C821" s="23"/>
      <c r="D821" s="24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8.75" customHeight="1" x14ac:dyDescent="0.2">
      <c r="A822" s="22"/>
      <c r="B822" s="16"/>
      <c r="C822" s="23"/>
      <c r="D822" s="24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8.75" customHeight="1" x14ac:dyDescent="0.2">
      <c r="A823" s="22"/>
      <c r="B823" s="16"/>
      <c r="C823" s="23"/>
      <c r="D823" s="24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8.75" customHeight="1" x14ac:dyDescent="0.2">
      <c r="A824" s="22"/>
      <c r="B824" s="16"/>
      <c r="C824" s="23"/>
      <c r="D824" s="24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8.75" customHeight="1" x14ac:dyDescent="0.2">
      <c r="A825" s="22"/>
      <c r="B825" s="16"/>
      <c r="C825" s="23"/>
      <c r="D825" s="24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8.75" customHeight="1" x14ac:dyDescent="0.2">
      <c r="A826" s="22"/>
      <c r="B826" s="16"/>
      <c r="C826" s="23"/>
      <c r="D826" s="24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8.75" customHeight="1" x14ac:dyDescent="0.2">
      <c r="A827" s="22"/>
      <c r="B827" s="16"/>
      <c r="C827" s="23"/>
      <c r="D827" s="24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8.75" customHeight="1" x14ac:dyDescent="0.2">
      <c r="A828" s="22"/>
      <c r="B828" s="16"/>
      <c r="C828" s="23"/>
      <c r="D828" s="24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8.75" customHeight="1" x14ac:dyDescent="0.2">
      <c r="A829" s="22"/>
      <c r="B829" s="16"/>
      <c r="C829" s="23"/>
      <c r="D829" s="24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8.75" customHeight="1" x14ac:dyDescent="0.2">
      <c r="A830" s="22"/>
      <c r="B830" s="16"/>
      <c r="C830" s="23"/>
      <c r="D830" s="24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8.75" customHeight="1" x14ac:dyDescent="0.2">
      <c r="A831" s="22"/>
      <c r="B831" s="16"/>
      <c r="C831" s="23"/>
      <c r="D831" s="24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8.75" customHeight="1" x14ac:dyDescent="0.2">
      <c r="A832" s="22"/>
      <c r="B832" s="16"/>
      <c r="C832" s="23"/>
      <c r="D832" s="24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8.75" customHeight="1" x14ac:dyDescent="0.2">
      <c r="A833" s="22"/>
      <c r="B833" s="16"/>
      <c r="C833" s="23"/>
      <c r="D833" s="24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8.75" customHeight="1" x14ac:dyDescent="0.2">
      <c r="A834" s="22"/>
      <c r="B834" s="16"/>
      <c r="C834" s="23"/>
      <c r="D834" s="24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8.75" customHeight="1" x14ac:dyDescent="0.2">
      <c r="A835" s="22"/>
      <c r="B835" s="16"/>
      <c r="C835" s="23"/>
      <c r="D835" s="24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8.75" customHeight="1" x14ac:dyDescent="0.2">
      <c r="A836" s="22"/>
      <c r="B836" s="16"/>
      <c r="C836" s="23"/>
      <c r="D836" s="24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8.75" customHeight="1" x14ac:dyDescent="0.2">
      <c r="A837" s="22"/>
      <c r="B837" s="16"/>
      <c r="C837" s="23"/>
      <c r="D837" s="24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8.75" customHeight="1" x14ac:dyDescent="0.2">
      <c r="A838" s="22"/>
      <c r="B838" s="16"/>
      <c r="C838" s="23"/>
      <c r="D838" s="24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8.75" customHeight="1" x14ac:dyDescent="0.2">
      <c r="A839" s="22"/>
      <c r="B839" s="16"/>
      <c r="C839" s="23"/>
      <c r="D839" s="24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8.75" customHeight="1" x14ac:dyDescent="0.2">
      <c r="A840" s="22"/>
      <c r="B840" s="16"/>
      <c r="C840" s="23"/>
      <c r="D840" s="24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8.75" customHeight="1" x14ac:dyDescent="0.2">
      <c r="A841" s="22"/>
      <c r="B841" s="16"/>
      <c r="C841" s="23"/>
      <c r="D841" s="24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8.75" customHeight="1" x14ac:dyDescent="0.2">
      <c r="A842" s="22"/>
      <c r="B842" s="16"/>
      <c r="C842" s="23"/>
      <c r="D842" s="24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8.75" customHeight="1" x14ac:dyDescent="0.2">
      <c r="A843" s="22"/>
      <c r="B843" s="16"/>
      <c r="C843" s="23"/>
      <c r="D843" s="24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8.75" customHeight="1" x14ac:dyDescent="0.2">
      <c r="A844" s="22"/>
      <c r="B844" s="16"/>
      <c r="C844" s="23"/>
      <c r="D844" s="24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8.75" customHeight="1" x14ac:dyDescent="0.2">
      <c r="A845" s="22"/>
      <c r="B845" s="16"/>
      <c r="C845" s="23"/>
      <c r="D845" s="24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8.75" customHeight="1" x14ac:dyDescent="0.2">
      <c r="A846" s="22"/>
      <c r="B846" s="16"/>
      <c r="C846" s="23"/>
      <c r="D846" s="24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8.75" customHeight="1" x14ac:dyDescent="0.2">
      <c r="A847" s="22"/>
      <c r="B847" s="16"/>
      <c r="C847" s="23"/>
      <c r="D847" s="24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8.75" customHeight="1" x14ac:dyDescent="0.2">
      <c r="A848" s="22"/>
      <c r="B848" s="16"/>
      <c r="C848" s="23"/>
      <c r="D848" s="24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8.75" customHeight="1" x14ac:dyDescent="0.2">
      <c r="A849" s="22"/>
      <c r="B849" s="16"/>
      <c r="C849" s="23"/>
      <c r="D849" s="24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8.75" customHeight="1" x14ac:dyDescent="0.2">
      <c r="A850" s="22"/>
      <c r="B850" s="16"/>
      <c r="C850" s="23"/>
      <c r="D850" s="24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8.75" customHeight="1" x14ac:dyDescent="0.2">
      <c r="A851" s="22"/>
      <c r="B851" s="16"/>
      <c r="C851" s="23"/>
      <c r="D851" s="24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8.75" customHeight="1" x14ac:dyDescent="0.2">
      <c r="A852" s="22"/>
      <c r="B852" s="16"/>
      <c r="C852" s="23"/>
      <c r="D852" s="24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8.75" customHeight="1" x14ac:dyDescent="0.2">
      <c r="A853" s="22"/>
      <c r="B853" s="16"/>
      <c r="C853" s="23"/>
      <c r="D853" s="24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8.75" customHeight="1" x14ac:dyDescent="0.2">
      <c r="A854" s="22"/>
      <c r="B854" s="16"/>
      <c r="C854" s="23"/>
      <c r="D854" s="24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8.75" customHeight="1" x14ac:dyDescent="0.2">
      <c r="A855" s="22"/>
      <c r="B855" s="16"/>
      <c r="C855" s="23"/>
      <c r="D855" s="24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8.75" customHeight="1" x14ac:dyDescent="0.2">
      <c r="A856" s="22"/>
      <c r="B856" s="16"/>
      <c r="C856" s="23"/>
      <c r="D856" s="24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8.75" customHeight="1" x14ac:dyDescent="0.2">
      <c r="A857" s="22"/>
      <c r="B857" s="16"/>
      <c r="C857" s="23"/>
      <c r="D857" s="24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8.75" customHeight="1" x14ac:dyDescent="0.2">
      <c r="A858" s="22"/>
      <c r="B858" s="16"/>
      <c r="C858" s="23"/>
      <c r="D858" s="24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8.75" customHeight="1" x14ac:dyDescent="0.2">
      <c r="A859" s="22"/>
      <c r="B859" s="16"/>
      <c r="C859" s="23"/>
      <c r="D859" s="24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8.75" customHeight="1" x14ac:dyDescent="0.2">
      <c r="A860" s="22"/>
      <c r="B860" s="16"/>
      <c r="C860" s="23"/>
      <c r="D860" s="24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8.75" customHeight="1" x14ac:dyDescent="0.2">
      <c r="A861" s="22"/>
      <c r="B861" s="16"/>
      <c r="C861" s="23"/>
      <c r="D861" s="24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8.75" customHeight="1" x14ac:dyDescent="0.2">
      <c r="A862" s="22"/>
      <c r="B862" s="16"/>
      <c r="C862" s="23"/>
      <c r="D862" s="24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8.75" customHeight="1" x14ac:dyDescent="0.2">
      <c r="A863" s="22"/>
      <c r="B863" s="16"/>
      <c r="C863" s="23"/>
      <c r="D863" s="24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8.75" customHeight="1" x14ac:dyDescent="0.2">
      <c r="A864" s="22"/>
      <c r="B864" s="16"/>
      <c r="C864" s="23"/>
      <c r="D864" s="24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8.75" customHeight="1" x14ac:dyDescent="0.2">
      <c r="A865" s="22"/>
      <c r="B865" s="16"/>
      <c r="C865" s="23"/>
      <c r="D865" s="24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8.75" customHeight="1" x14ac:dyDescent="0.2">
      <c r="A866" s="22"/>
      <c r="B866" s="16"/>
      <c r="C866" s="23"/>
      <c r="D866" s="24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8.75" customHeight="1" x14ac:dyDescent="0.2">
      <c r="A867" s="22"/>
      <c r="B867" s="16"/>
      <c r="C867" s="23"/>
      <c r="D867" s="24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8.75" customHeight="1" x14ac:dyDescent="0.2">
      <c r="A868" s="22"/>
      <c r="B868" s="16"/>
      <c r="C868" s="23"/>
      <c r="D868" s="24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8.75" customHeight="1" x14ac:dyDescent="0.2">
      <c r="A869" s="22"/>
      <c r="B869" s="16"/>
      <c r="C869" s="23"/>
      <c r="D869" s="24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8.75" customHeight="1" x14ac:dyDescent="0.2">
      <c r="A870" s="22"/>
      <c r="B870" s="16"/>
      <c r="C870" s="23"/>
      <c r="D870" s="24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8.75" customHeight="1" x14ac:dyDescent="0.2">
      <c r="A871" s="22"/>
      <c r="B871" s="16"/>
      <c r="C871" s="23"/>
      <c r="D871" s="24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8.75" customHeight="1" x14ac:dyDescent="0.2">
      <c r="A872" s="22"/>
      <c r="B872" s="16"/>
      <c r="C872" s="23"/>
      <c r="D872" s="24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8.75" customHeight="1" x14ac:dyDescent="0.2">
      <c r="A873" s="22"/>
      <c r="B873" s="16"/>
      <c r="C873" s="23"/>
      <c r="D873" s="24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8.75" customHeight="1" x14ac:dyDescent="0.2">
      <c r="A874" s="22"/>
      <c r="B874" s="16"/>
      <c r="C874" s="23"/>
      <c r="D874" s="24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8.75" customHeight="1" x14ac:dyDescent="0.2">
      <c r="A875" s="22"/>
      <c r="B875" s="16"/>
      <c r="C875" s="23"/>
      <c r="D875" s="24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8.75" customHeight="1" x14ac:dyDescent="0.2">
      <c r="A876" s="22"/>
      <c r="B876" s="16"/>
      <c r="C876" s="23"/>
      <c r="D876" s="24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8.75" customHeight="1" x14ac:dyDescent="0.2">
      <c r="A877" s="22"/>
      <c r="B877" s="16"/>
      <c r="C877" s="23"/>
      <c r="D877" s="24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8.75" customHeight="1" x14ac:dyDescent="0.2">
      <c r="A878" s="22"/>
      <c r="B878" s="16"/>
      <c r="C878" s="23"/>
      <c r="D878" s="24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8.75" customHeight="1" x14ac:dyDescent="0.2">
      <c r="A879" s="22"/>
      <c r="B879" s="16"/>
      <c r="C879" s="23"/>
      <c r="D879" s="24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8.75" customHeight="1" x14ac:dyDescent="0.2">
      <c r="A880" s="22"/>
      <c r="B880" s="16"/>
      <c r="C880" s="23"/>
      <c r="D880" s="24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8.75" customHeight="1" x14ac:dyDescent="0.2">
      <c r="A881" s="22"/>
      <c r="B881" s="16"/>
      <c r="C881" s="23"/>
      <c r="D881" s="24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8.75" customHeight="1" x14ac:dyDescent="0.2">
      <c r="A882" s="22"/>
      <c r="B882" s="16"/>
      <c r="C882" s="23"/>
      <c r="D882" s="24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8.75" customHeight="1" x14ac:dyDescent="0.2">
      <c r="A883" s="22"/>
      <c r="B883" s="16"/>
      <c r="C883" s="23"/>
      <c r="D883" s="24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8.75" customHeight="1" x14ac:dyDescent="0.2">
      <c r="A884" s="22"/>
      <c r="B884" s="16"/>
      <c r="C884" s="23"/>
      <c r="D884" s="24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8.75" customHeight="1" x14ac:dyDescent="0.2">
      <c r="A885" s="22"/>
      <c r="B885" s="16"/>
      <c r="C885" s="23"/>
      <c r="D885" s="24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8.75" customHeight="1" x14ac:dyDescent="0.2">
      <c r="A886" s="22"/>
      <c r="B886" s="16"/>
      <c r="C886" s="23"/>
      <c r="D886" s="24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8.75" customHeight="1" x14ac:dyDescent="0.2">
      <c r="A887" s="22"/>
      <c r="B887" s="16"/>
      <c r="C887" s="23"/>
      <c r="D887" s="24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8.75" customHeight="1" x14ac:dyDescent="0.2">
      <c r="A888" s="22"/>
      <c r="B888" s="16"/>
      <c r="C888" s="23"/>
      <c r="D888" s="24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8.75" customHeight="1" x14ac:dyDescent="0.2">
      <c r="A889" s="22"/>
      <c r="B889" s="16"/>
      <c r="C889" s="23"/>
      <c r="D889" s="24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8.75" customHeight="1" x14ac:dyDescent="0.2">
      <c r="A890" s="22"/>
      <c r="B890" s="16"/>
      <c r="C890" s="23"/>
      <c r="D890" s="24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8.75" customHeight="1" x14ac:dyDescent="0.2">
      <c r="A891" s="22"/>
      <c r="B891" s="16"/>
      <c r="C891" s="23"/>
      <c r="D891" s="24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8.75" customHeight="1" x14ac:dyDescent="0.2">
      <c r="A892" s="22"/>
      <c r="B892" s="16"/>
      <c r="C892" s="23"/>
      <c r="D892" s="24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8.75" customHeight="1" x14ac:dyDescent="0.2">
      <c r="A893" s="22"/>
      <c r="B893" s="16"/>
      <c r="C893" s="23"/>
      <c r="D893" s="24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8.75" customHeight="1" x14ac:dyDescent="0.2">
      <c r="A894" s="22"/>
      <c r="B894" s="16"/>
      <c r="C894" s="23"/>
      <c r="D894" s="24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8.75" customHeight="1" x14ac:dyDescent="0.2">
      <c r="A895" s="22"/>
      <c r="B895" s="16"/>
      <c r="C895" s="23"/>
      <c r="D895" s="24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8.75" customHeight="1" x14ac:dyDescent="0.2">
      <c r="A896" s="22"/>
      <c r="B896" s="16"/>
      <c r="C896" s="23"/>
      <c r="D896" s="24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8.75" customHeight="1" x14ac:dyDescent="0.2">
      <c r="A897" s="22"/>
      <c r="B897" s="16"/>
      <c r="C897" s="23"/>
      <c r="D897" s="24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8.75" customHeight="1" x14ac:dyDescent="0.2">
      <c r="A898" s="22"/>
      <c r="B898" s="16"/>
      <c r="C898" s="23"/>
      <c r="D898" s="24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8.75" customHeight="1" x14ac:dyDescent="0.2">
      <c r="A899" s="22"/>
      <c r="B899" s="16"/>
      <c r="C899" s="23"/>
      <c r="D899" s="24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8.75" customHeight="1" x14ac:dyDescent="0.2">
      <c r="A900" s="22"/>
      <c r="B900" s="16"/>
      <c r="C900" s="23"/>
      <c r="D900" s="24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8.75" customHeight="1" x14ac:dyDescent="0.2">
      <c r="A901" s="22"/>
      <c r="B901" s="16"/>
      <c r="C901" s="23"/>
      <c r="D901" s="24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8.75" customHeight="1" x14ac:dyDescent="0.2">
      <c r="A902" s="22"/>
      <c r="B902" s="16"/>
      <c r="C902" s="23"/>
      <c r="D902" s="24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8.75" customHeight="1" x14ac:dyDescent="0.2">
      <c r="A903" s="22"/>
      <c r="B903" s="16"/>
      <c r="C903" s="23"/>
      <c r="D903" s="24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8.75" customHeight="1" x14ac:dyDescent="0.2">
      <c r="A904" s="22"/>
      <c r="B904" s="16"/>
      <c r="C904" s="23"/>
      <c r="D904" s="24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8.75" customHeight="1" x14ac:dyDescent="0.2">
      <c r="A905" s="22"/>
      <c r="B905" s="16"/>
      <c r="C905" s="23"/>
      <c r="D905" s="24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8.75" customHeight="1" x14ac:dyDescent="0.2">
      <c r="A906" s="22"/>
      <c r="B906" s="16"/>
      <c r="C906" s="23"/>
      <c r="D906" s="24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8.75" customHeight="1" x14ac:dyDescent="0.2">
      <c r="A907" s="22"/>
      <c r="B907" s="16"/>
      <c r="C907" s="23"/>
      <c r="D907" s="24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8.75" customHeight="1" x14ac:dyDescent="0.2">
      <c r="A908" s="22"/>
      <c r="B908" s="16"/>
      <c r="C908" s="23"/>
      <c r="D908" s="24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8.75" customHeight="1" x14ac:dyDescent="0.2">
      <c r="A909" s="22"/>
      <c r="B909" s="16"/>
      <c r="C909" s="23"/>
      <c r="D909" s="24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8.75" customHeight="1" x14ac:dyDescent="0.2">
      <c r="A910" s="22"/>
      <c r="B910" s="16"/>
      <c r="C910" s="23"/>
      <c r="D910" s="24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8.75" customHeight="1" x14ac:dyDescent="0.2">
      <c r="A911" s="22"/>
      <c r="B911" s="16"/>
      <c r="C911" s="23"/>
      <c r="D911" s="24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8.75" customHeight="1" x14ac:dyDescent="0.2">
      <c r="A912" s="22"/>
      <c r="B912" s="16"/>
      <c r="C912" s="23"/>
      <c r="D912" s="24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8.75" customHeight="1" x14ac:dyDescent="0.2">
      <c r="A913" s="22"/>
      <c r="B913" s="16"/>
      <c r="C913" s="23"/>
      <c r="D913" s="24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8.75" customHeight="1" x14ac:dyDescent="0.2">
      <c r="A914" s="22"/>
      <c r="B914" s="16"/>
      <c r="C914" s="23"/>
      <c r="D914" s="24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8.75" customHeight="1" x14ac:dyDescent="0.2">
      <c r="A915" s="22"/>
      <c r="B915" s="16"/>
      <c r="C915" s="23"/>
      <c r="D915" s="24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8.75" customHeight="1" x14ac:dyDescent="0.2">
      <c r="A916" s="22"/>
      <c r="B916" s="16"/>
      <c r="C916" s="23"/>
      <c r="D916" s="24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8.75" customHeight="1" x14ac:dyDescent="0.2">
      <c r="A917" s="22"/>
      <c r="B917" s="16"/>
      <c r="C917" s="23"/>
      <c r="D917" s="24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8.75" customHeight="1" x14ac:dyDescent="0.2">
      <c r="A918" s="22"/>
      <c r="B918" s="16"/>
      <c r="C918" s="23"/>
      <c r="D918" s="24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8.75" customHeight="1" x14ac:dyDescent="0.2">
      <c r="A919" s="22"/>
      <c r="B919" s="16"/>
      <c r="C919" s="23"/>
      <c r="D919" s="24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8.75" customHeight="1" x14ac:dyDescent="0.2">
      <c r="A920" s="22"/>
      <c r="B920" s="16"/>
      <c r="C920" s="23"/>
      <c r="D920" s="24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8.75" customHeight="1" x14ac:dyDescent="0.2">
      <c r="A921" s="22"/>
      <c r="B921" s="16"/>
      <c r="C921" s="23"/>
      <c r="D921" s="24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8.75" customHeight="1" x14ac:dyDescent="0.2">
      <c r="A922" s="22"/>
      <c r="B922" s="16"/>
      <c r="C922" s="23"/>
      <c r="D922" s="24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8.75" customHeight="1" x14ac:dyDescent="0.2">
      <c r="A923" s="22"/>
      <c r="B923" s="16"/>
      <c r="C923" s="23"/>
      <c r="D923" s="24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8.75" customHeight="1" x14ac:dyDescent="0.2">
      <c r="A924" s="22"/>
      <c r="B924" s="16"/>
      <c r="C924" s="23"/>
      <c r="D924" s="24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8.75" customHeight="1" x14ac:dyDescent="0.2">
      <c r="A925" s="22"/>
      <c r="B925" s="16"/>
      <c r="C925" s="23"/>
      <c r="D925" s="24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8.75" customHeight="1" x14ac:dyDescent="0.2">
      <c r="A926" s="22"/>
      <c r="B926" s="16"/>
      <c r="C926" s="23"/>
      <c r="D926" s="24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8.75" customHeight="1" x14ac:dyDescent="0.2">
      <c r="A927" s="22"/>
      <c r="B927" s="16"/>
      <c r="C927" s="23"/>
      <c r="D927" s="24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8.75" customHeight="1" x14ac:dyDescent="0.2">
      <c r="A928" s="22"/>
      <c r="B928" s="16"/>
      <c r="C928" s="23"/>
      <c r="D928" s="24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8.75" customHeight="1" x14ac:dyDescent="0.2">
      <c r="A929" s="22"/>
      <c r="B929" s="16"/>
      <c r="C929" s="23"/>
      <c r="D929" s="24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8.75" customHeight="1" x14ac:dyDescent="0.2">
      <c r="A930" s="22"/>
      <c r="B930" s="16"/>
      <c r="C930" s="23"/>
      <c r="D930" s="24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8.75" customHeight="1" x14ac:dyDescent="0.2">
      <c r="A931" s="22"/>
      <c r="B931" s="16"/>
      <c r="C931" s="23"/>
      <c r="D931" s="24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8.75" customHeight="1" x14ac:dyDescent="0.2">
      <c r="A932" s="22"/>
      <c r="B932" s="16"/>
      <c r="C932" s="23"/>
      <c r="D932" s="24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8.75" customHeight="1" x14ac:dyDescent="0.2">
      <c r="A933" s="22"/>
      <c r="B933" s="16"/>
      <c r="C933" s="23"/>
      <c r="D933" s="24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8.75" customHeight="1" x14ac:dyDescent="0.2">
      <c r="A934" s="22"/>
      <c r="B934" s="16"/>
      <c r="C934" s="23"/>
      <c r="D934" s="24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8.75" customHeight="1" x14ac:dyDescent="0.2">
      <c r="A935" s="22"/>
      <c r="B935" s="16"/>
      <c r="C935" s="23"/>
      <c r="D935" s="24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8.75" customHeight="1" x14ac:dyDescent="0.2">
      <c r="A936" s="22"/>
      <c r="B936" s="16"/>
      <c r="C936" s="23"/>
      <c r="D936" s="24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8.75" customHeight="1" x14ac:dyDescent="0.2">
      <c r="A937" s="22"/>
      <c r="B937" s="16"/>
      <c r="C937" s="23"/>
      <c r="D937" s="24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8.75" customHeight="1" x14ac:dyDescent="0.2">
      <c r="A938" s="22"/>
      <c r="B938" s="16"/>
      <c r="C938" s="23"/>
      <c r="D938" s="24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8.75" customHeight="1" x14ac:dyDescent="0.2">
      <c r="A939" s="22"/>
      <c r="B939" s="16"/>
      <c r="C939" s="23"/>
      <c r="D939" s="24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8.75" customHeight="1" x14ac:dyDescent="0.2">
      <c r="A940" s="22"/>
      <c r="B940" s="16"/>
      <c r="C940" s="23"/>
      <c r="D940" s="24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8.75" customHeight="1" x14ac:dyDescent="0.2">
      <c r="A941" s="22"/>
      <c r="B941" s="16"/>
      <c r="C941" s="23"/>
      <c r="D941" s="24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8.75" customHeight="1" x14ac:dyDescent="0.2">
      <c r="A942" s="22"/>
      <c r="B942" s="16"/>
      <c r="C942" s="23"/>
      <c r="D942" s="24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8.75" customHeight="1" x14ac:dyDescent="0.2">
      <c r="A943" s="22"/>
      <c r="B943" s="16"/>
      <c r="C943" s="23"/>
      <c r="D943" s="24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8.75" customHeight="1" x14ac:dyDescent="0.2">
      <c r="A944" s="22"/>
      <c r="B944" s="16"/>
      <c r="C944" s="23"/>
      <c r="D944" s="24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8.75" customHeight="1" x14ac:dyDescent="0.2">
      <c r="A945" s="22"/>
      <c r="B945" s="16"/>
      <c r="C945" s="23"/>
      <c r="D945" s="24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8.75" customHeight="1" x14ac:dyDescent="0.2">
      <c r="A946" s="22"/>
      <c r="B946" s="16"/>
      <c r="C946" s="23"/>
      <c r="D946" s="24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8.75" customHeight="1" x14ac:dyDescent="0.2">
      <c r="A947" s="22"/>
      <c r="B947" s="16"/>
      <c r="C947" s="23"/>
      <c r="D947" s="24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8.75" customHeight="1" x14ac:dyDescent="0.2">
      <c r="A948" s="22"/>
      <c r="B948" s="16"/>
      <c r="C948" s="23"/>
      <c r="D948" s="24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8.75" customHeight="1" x14ac:dyDescent="0.2">
      <c r="A949" s="22"/>
      <c r="B949" s="16"/>
      <c r="C949" s="23"/>
      <c r="D949" s="24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8.75" customHeight="1" x14ac:dyDescent="0.2">
      <c r="A950" s="22"/>
      <c r="B950" s="16"/>
      <c r="C950" s="23"/>
      <c r="D950" s="24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8.75" customHeight="1" x14ac:dyDescent="0.2">
      <c r="A951" s="22"/>
      <c r="B951" s="16"/>
      <c r="C951" s="23"/>
      <c r="D951" s="24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8.75" customHeight="1" x14ac:dyDescent="0.2">
      <c r="A952" s="22"/>
      <c r="B952" s="16"/>
      <c r="C952" s="23"/>
      <c r="D952" s="24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8.75" customHeight="1" x14ac:dyDescent="0.2">
      <c r="A953" s="22"/>
      <c r="B953" s="16"/>
      <c r="C953" s="23"/>
      <c r="D953" s="24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8.75" customHeight="1" x14ac:dyDescent="0.2">
      <c r="A954" s="22"/>
      <c r="B954" s="16"/>
      <c r="C954" s="23"/>
      <c r="D954" s="24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8.75" customHeight="1" x14ac:dyDescent="0.2">
      <c r="A955" s="22"/>
      <c r="B955" s="16"/>
      <c r="C955" s="23"/>
      <c r="D955" s="24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8.75" customHeight="1" x14ac:dyDescent="0.2">
      <c r="A956" s="22"/>
      <c r="B956" s="16"/>
      <c r="C956" s="23"/>
      <c r="D956" s="24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8.75" customHeight="1" x14ac:dyDescent="0.2">
      <c r="A957" s="22"/>
      <c r="B957" s="16"/>
      <c r="C957" s="23"/>
      <c r="D957" s="24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8.75" customHeight="1" x14ac:dyDescent="0.2">
      <c r="A958" s="22"/>
      <c r="B958" s="16"/>
      <c r="C958" s="23"/>
      <c r="D958" s="24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8.75" customHeight="1" x14ac:dyDescent="0.2">
      <c r="A959" s="22"/>
      <c r="B959" s="16"/>
      <c r="C959" s="23"/>
      <c r="D959" s="24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8.75" customHeight="1" x14ac:dyDescent="0.2">
      <c r="A960" s="22"/>
      <c r="B960" s="16"/>
      <c r="C960" s="23"/>
      <c r="D960" s="24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8.75" customHeight="1" x14ac:dyDescent="0.2">
      <c r="A961" s="22"/>
      <c r="B961" s="16"/>
      <c r="C961" s="23"/>
      <c r="D961" s="24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8.75" customHeight="1" x14ac:dyDescent="0.2">
      <c r="A962" s="22"/>
      <c r="B962" s="16"/>
      <c r="C962" s="23"/>
      <c r="D962" s="24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8.75" customHeight="1" x14ac:dyDescent="0.2">
      <c r="A963" s="22"/>
      <c r="B963" s="16"/>
      <c r="C963" s="23"/>
      <c r="D963" s="24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8.75" customHeight="1" x14ac:dyDescent="0.2">
      <c r="A964" s="22"/>
      <c r="B964" s="16"/>
      <c r="C964" s="23"/>
      <c r="D964" s="24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8.75" customHeight="1" x14ac:dyDescent="0.2">
      <c r="A965" s="22"/>
      <c r="B965" s="16"/>
      <c r="C965" s="23"/>
      <c r="D965" s="24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8.75" customHeight="1" x14ac:dyDescent="0.2">
      <c r="A966" s="22"/>
      <c r="B966" s="16"/>
      <c r="C966" s="23"/>
      <c r="D966" s="24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8.75" customHeight="1" x14ac:dyDescent="0.2">
      <c r="A967" s="22"/>
      <c r="B967" s="16"/>
      <c r="C967" s="23"/>
      <c r="D967" s="24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8.75" customHeight="1" x14ac:dyDescent="0.2">
      <c r="A968" s="22"/>
      <c r="B968" s="16"/>
      <c r="C968" s="23"/>
      <c r="D968" s="24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8.75" customHeight="1" x14ac:dyDescent="0.2">
      <c r="A969" s="22"/>
      <c r="B969" s="16"/>
      <c r="C969" s="23"/>
      <c r="D969" s="24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8.75" customHeight="1" x14ac:dyDescent="0.2">
      <c r="A970" s="22"/>
      <c r="B970" s="16"/>
      <c r="C970" s="23"/>
      <c r="D970" s="24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8.75" customHeight="1" x14ac:dyDescent="0.2">
      <c r="A971" s="22"/>
      <c r="B971" s="16"/>
      <c r="C971" s="23"/>
      <c r="D971" s="24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8.75" customHeight="1" x14ac:dyDescent="0.2">
      <c r="A972" s="22"/>
      <c r="B972" s="16"/>
      <c r="C972" s="23"/>
      <c r="D972" s="24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8.75" customHeight="1" x14ac:dyDescent="0.2">
      <c r="A973" s="22"/>
      <c r="B973" s="16"/>
      <c r="C973" s="23"/>
      <c r="D973" s="24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8.75" customHeight="1" x14ac:dyDescent="0.2">
      <c r="A974" s="22"/>
      <c r="B974" s="16"/>
      <c r="C974" s="23"/>
      <c r="D974" s="24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8.75" customHeight="1" x14ac:dyDescent="0.2">
      <c r="A975" s="22"/>
      <c r="B975" s="16"/>
      <c r="C975" s="23"/>
      <c r="D975" s="24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8.75" customHeight="1" x14ac:dyDescent="0.2">
      <c r="A976" s="22"/>
      <c r="B976" s="16"/>
      <c r="C976" s="23"/>
      <c r="D976" s="24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8.75" customHeight="1" x14ac:dyDescent="0.2">
      <c r="A977" s="22"/>
      <c r="B977" s="16"/>
      <c r="C977" s="23"/>
      <c r="D977" s="24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8.75" customHeight="1" x14ac:dyDescent="0.2">
      <c r="A978" s="22"/>
      <c r="B978" s="16"/>
      <c r="C978" s="23"/>
      <c r="D978" s="24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8.75" customHeight="1" x14ac:dyDescent="0.2">
      <c r="A979" s="22"/>
      <c r="B979" s="16"/>
      <c r="C979" s="23"/>
      <c r="D979" s="24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8.75" customHeight="1" x14ac:dyDescent="0.2">
      <c r="A980" s="22"/>
      <c r="B980" s="16"/>
      <c r="C980" s="23"/>
      <c r="D980" s="24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8.75" customHeight="1" x14ac:dyDescent="0.2">
      <c r="A981" s="22"/>
      <c r="B981" s="16"/>
      <c r="C981" s="23"/>
      <c r="D981" s="24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8.75" customHeight="1" x14ac:dyDescent="0.2">
      <c r="A982" s="22"/>
      <c r="B982" s="16"/>
      <c r="C982" s="23"/>
      <c r="D982" s="24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8.75" customHeight="1" x14ac:dyDescent="0.2">
      <c r="A983" s="22"/>
      <c r="B983" s="16"/>
      <c r="C983" s="23"/>
      <c r="D983" s="24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8.75" customHeight="1" x14ac:dyDescent="0.2">
      <c r="A984" s="22"/>
      <c r="B984" s="16"/>
      <c r="C984" s="23"/>
      <c r="D984" s="24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8.75" customHeight="1" x14ac:dyDescent="0.2">
      <c r="A985" s="22"/>
      <c r="B985" s="16"/>
      <c r="C985" s="23"/>
      <c r="D985" s="24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8.75" customHeight="1" x14ac:dyDescent="0.2">
      <c r="A986" s="22"/>
      <c r="B986" s="16"/>
      <c r="C986" s="23"/>
      <c r="D986" s="24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8.75" customHeight="1" x14ac:dyDescent="0.2">
      <c r="A987" s="22"/>
      <c r="B987" s="16"/>
      <c r="C987" s="23"/>
      <c r="D987" s="24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8.75" customHeight="1" x14ac:dyDescent="0.2">
      <c r="A988" s="22"/>
      <c r="B988" s="16"/>
      <c r="C988" s="23"/>
      <c r="D988" s="24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8.75" customHeight="1" x14ac:dyDescent="0.2">
      <c r="A989" s="22"/>
      <c r="B989" s="16"/>
      <c r="C989" s="23"/>
      <c r="D989" s="24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8.75" customHeight="1" x14ac:dyDescent="0.2">
      <c r="A990" s="22"/>
      <c r="B990" s="16"/>
      <c r="C990" s="23"/>
      <c r="D990" s="24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8.75" customHeight="1" x14ac:dyDescent="0.2">
      <c r="A991" s="22"/>
      <c r="B991" s="16"/>
      <c r="C991" s="23"/>
      <c r="D991" s="24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8.75" customHeight="1" x14ac:dyDescent="0.2">
      <c r="A992" s="22"/>
      <c r="B992" s="16"/>
      <c r="C992" s="23"/>
      <c r="D992" s="24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8.75" customHeight="1" x14ac:dyDescent="0.2">
      <c r="A993" s="22"/>
      <c r="B993" s="16"/>
      <c r="C993" s="23"/>
      <c r="D993" s="24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8.75" customHeight="1" x14ac:dyDescent="0.2">
      <c r="A994" s="22"/>
      <c r="B994" s="16"/>
      <c r="C994" s="23"/>
      <c r="D994" s="24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8.75" customHeight="1" x14ac:dyDescent="0.2">
      <c r="A995" s="22"/>
      <c r="B995" s="16"/>
      <c r="C995" s="23"/>
      <c r="D995" s="24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8.75" customHeight="1" x14ac:dyDescent="0.2">
      <c r="A996" s="22"/>
      <c r="B996" s="16"/>
      <c r="C996" s="23"/>
      <c r="D996" s="24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8.75" customHeight="1" x14ac:dyDescent="0.2">
      <c r="A997" s="22"/>
      <c r="B997" s="16"/>
      <c r="C997" s="23"/>
      <c r="D997" s="24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8.75" customHeight="1" x14ac:dyDescent="0.2">
      <c r="A998" s="22"/>
      <c r="B998" s="16"/>
      <c r="C998" s="23"/>
      <c r="D998" s="24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8.75" customHeight="1" x14ac:dyDescent="0.2">
      <c r="A999" s="22"/>
      <c r="B999" s="16"/>
      <c r="C999" s="23"/>
      <c r="D999" s="24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8.75" customHeight="1" x14ac:dyDescent="0.2">
      <c r="A1000" s="22"/>
      <c r="B1000" s="16"/>
      <c r="C1000" s="23"/>
      <c r="D1000" s="24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40">
    <mergeCell ref="A1:B2"/>
    <mergeCell ref="C1:P1"/>
    <mergeCell ref="Q1:R1"/>
    <mergeCell ref="C2:P2"/>
    <mergeCell ref="Q2:R2"/>
    <mergeCell ref="C4:R4"/>
    <mergeCell ref="A5:R5"/>
    <mergeCell ref="N6:P6"/>
    <mergeCell ref="N7:P7"/>
    <mergeCell ref="D8:R8"/>
    <mergeCell ref="J9:R9"/>
    <mergeCell ref="J10:R10"/>
    <mergeCell ref="A6:D6"/>
    <mergeCell ref="E6:H6"/>
    <mergeCell ref="I6:M6"/>
    <mergeCell ref="Q6:R6"/>
    <mergeCell ref="Q7:R7"/>
    <mergeCell ref="I7:M7"/>
    <mergeCell ref="E7:H7"/>
    <mergeCell ref="A7:D7"/>
    <mergeCell ref="A8:C8"/>
    <mergeCell ref="A9:I9"/>
    <mergeCell ref="A10:I10"/>
    <mergeCell ref="B11:D11"/>
    <mergeCell ref="B12:D12"/>
    <mergeCell ref="B13:D13"/>
    <mergeCell ref="A21:C21"/>
    <mergeCell ref="A22:C22"/>
    <mergeCell ref="B14:D14"/>
    <mergeCell ref="B15:D15"/>
    <mergeCell ref="B16:D16"/>
    <mergeCell ref="B17:D17"/>
    <mergeCell ref="B18:D18"/>
    <mergeCell ref="A20:J20"/>
    <mergeCell ref="D21:J21"/>
    <mergeCell ref="A23:C23"/>
    <mergeCell ref="A24:C24"/>
    <mergeCell ref="D22:J22"/>
    <mergeCell ref="D23:J23"/>
    <mergeCell ref="D24:J24"/>
  </mergeCells>
  <printOptions horizontalCentered="1"/>
  <pageMargins left="0.70866141732283472" right="0.70866141732283472" top="0.74803149606299213" bottom="0.74803149606299213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1000"/>
  <sheetViews>
    <sheetView zoomScale="40" zoomScaleNormal="40" workbookViewId="0">
      <selection activeCell="E12" sqref="E12:E17"/>
    </sheetView>
  </sheetViews>
  <sheetFormatPr baseColWidth="10" defaultColWidth="10.140625" defaultRowHeight="15" customHeight="1" x14ac:dyDescent="0.2"/>
  <cols>
    <col min="1" max="1" width="11" customWidth="1"/>
    <col min="2" max="2" width="86.85546875" customWidth="1"/>
    <col min="3" max="3" width="28.42578125" customWidth="1"/>
    <col min="4" max="4" width="38.140625" customWidth="1"/>
    <col min="5" max="5" width="14.85546875" customWidth="1"/>
    <col min="6" max="6" width="15.85546875" customWidth="1"/>
    <col min="7" max="7" width="14.85546875" customWidth="1"/>
    <col min="8" max="8" width="13.140625" customWidth="1"/>
    <col min="9" max="9" width="17.140625" customWidth="1"/>
    <col min="10" max="10" width="19.85546875" customWidth="1"/>
    <col min="11" max="13" width="20.85546875" customWidth="1"/>
    <col min="14" max="14" width="26.140625" customWidth="1"/>
    <col min="15" max="15" width="41.85546875" customWidth="1"/>
    <col min="16" max="16" width="22.85546875" customWidth="1"/>
    <col min="17" max="17" width="19.140625" customWidth="1"/>
    <col min="18" max="18" width="22.85546875" customWidth="1"/>
    <col min="19" max="27" width="11" customWidth="1"/>
  </cols>
  <sheetData>
    <row r="1" spans="1:27" ht="34.5" customHeight="1" x14ac:dyDescent="0.2">
      <c r="A1" s="149"/>
      <c r="B1" s="150"/>
      <c r="C1" s="153" t="s">
        <v>0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2"/>
      <c r="Q1" s="153" t="s">
        <v>1</v>
      </c>
      <c r="R1" s="132"/>
      <c r="S1" s="16"/>
      <c r="T1" s="16"/>
      <c r="U1" s="16"/>
      <c r="V1" s="16"/>
      <c r="W1" s="16"/>
      <c r="X1" s="16"/>
      <c r="Y1" s="16"/>
      <c r="Z1" s="16"/>
      <c r="AA1" s="16"/>
    </row>
    <row r="2" spans="1:27" ht="228" customHeight="1" x14ac:dyDescent="0.2">
      <c r="A2" s="151"/>
      <c r="B2" s="152"/>
      <c r="C2" s="153" t="s">
        <v>2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53" t="s">
        <v>3</v>
      </c>
      <c r="R2" s="132"/>
      <c r="S2" s="16"/>
      <c r="T2" s="16"/>
      <c r="U2" s="16"/>
      <c r="V2" s="16"/>
      <c r="W2" s="16"/>
      <c r="X2" s="16"/>
      <c r="Y2" s="16"/>
      <c r="Z2" s="16"/>
      <c r="AA2" s="16"/>
    </row>
    <row r="3" spans="1:27" ht="30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6"/>
      <c r="T3" s="16"/>
      <c r="U3" s="16"/>
      <c r="V3" s="16"/>
      <c r="W3" s="16"/>
      <c r="X3" s="16"/>
      <c r="Y3" s="16"/>
      <c r="Z3" s="16"/>
      <c r="AA3" s="16"/>
    </row>
    <row r="4" spans="1:27" ht="30" customHeight="1" x14ac:dyDescent="0.2">
      <c r="A4" s="3" t="s">
        <v>4</v>
      </c>
      <c r="B4" s="3"/>
      <c r="C4" s="145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2"/>
      <c r="S4" s="16"/>
      <c r="T4" s="16"/>
      <c r="U4" s="16"/>
      <c r="V4" s="16"/>
      <c r="W4" s="16"/>
      <c r="X4" s="16"/>
      <c r="Y4" s="16"/>
      <c r="Z4" s="16"/>
      <c r="AA4" s="16"/>
    </row>
    <row r="5" spans="1:27" ht="30" customHeight="1" x14ac:dyDescent="0.2">
      <c r="A5" s="146" t="s">
        <v>5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2"/>
      <c r="S5" s="16"/>
      <c r="T5" s="16"/>
      <c r="U5" s="16"/>
      <c r="V5" s="16"/>
      <c r="W5" s="16"/>
      <c r="X5" s="16"/>
      <c r="Y5" s="16"/>
      <c r="Z5" s="16"/>
      <c r="AA5" s="16"/>
    </row>
    <row r="6" spans="1:27" ht="30" customHeight="1" x14ac:dyDescent="0.2">
      <c r="A6" s="177" t="s">
        <v>6</v>
      </c>
      <c r="B6" s="131"/>
      <c r="C6" s="131"/>
      <c r="D6" s="132"/>
      <c r="E6" s="177" t="s">
        <v>7</v>
      </c>
      <c r="F6" s="131"/>
      <c r="G6" s="131"/>
      <c r="H6" s="132"/>
      <c r="I6" s="177" t="s">
        <v>8</v>
      </c>
      <c r="J6" s="131"/>
      <c r="K6" s="131"/>
      <c r="L6" s="131"/>
      <c r="M6" s="132"/>
      <c r="N6" s="177" t="s">
        <v>9</v>
      </c>
      <c r="O6" s="131"/>
      <c r="P6" s="132"/>
      <c r="Q6" s="177" t="s">
        <v>10</v>
      </c>
      <c r="R6" s="132"/>
      <c r="S6" s="16"/>
      <c r="T6" s="16"/>
      <c r="U6" s="16"/>
      <c r="V6" s="16"/>
      <c r="W6" s="16"/>
      <c r="X6" s="16"/>
      <c r="Y6" s="16"/>
      <c r="Z6" s="16"/>
      <c r="AA6" s="16"/>
    </row>
    <row r="7" spans="1:27" ht="87" customHeight="1" x14ac:dyDescent="0.2">
      <c r="A7" s="139">
        <f>'DOCUMENTO INTERNO'!A7:D7</f>
        <v>0</v>
      </c>
      <c r="B7" s="140"/>
      <c r="C7" s="140"/>
      <c r="D7" s="141"/>
      <c r="E7" s="139">
        <f>'DOCUMENTO INTERNO'!E7:H7</f>
        <v>0</v>
      </c>
      <c r="F7" s="140"/>
      <c r="G7" s="140"/>
      <c r="H7" s="141"/>
      <c r="I7" s="139">
        <f>'DOCUMENTO INTERNO'!I7:M7</f>
        <v>0</v>
      </c>
      <c r="J7" s="140"/>
      <c r="K7" s="140"/>
      <c r="L7" s="140"/>
      <c r="M7" s="141"/>
      <c r="N7" s="147">
        <f>'DOCUMENTO INTERNO'!N7:P7</f>
        <v>0</v>
      </c>
      <c r="O7" s="140"/>
      <c r="P7" s="141"/>
      <c r="Q7" s="138"/>
      <c r="R7" s="132"/>
      <c r="S7" s="16"/>
      <c r="T7" s="16"/>
      <c r="U7" s="16"/>
      <c r="V7" s="16"/>
      <c r="W7" s="16"/>
      <c r="X7" s="16"/>
      <c r="Y7" s="16"/>
      <c r="Z7" s="16"/>
      <c r="AA7" s="16"/>
    </row>
    <row r="8" spans="1:27" ht="30" customHeight="1" x14ac:dyDescent="0.2">
      <c r="A8" s="130" t="s">
        <v>11</v>
      </c>
      <c r="B8" s="131"/>
      <c r="C8" s="132"/>
      <c r="D8" s="153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2"/>
      <c r="S8" s="16"/>
      <c r="T8" s="16"/>
      <c r="U8" s="16"/>
      <c r="V8" s="16"/>
      <c r="W8" s="16"/>
      <c r="X8" s="16"/>
      <c r="Y8" s="16"/>
      <c r="Z8" s="16"/>
      <c r="AA8" s="16"/>
    </row>
    <row r="9" spans="1:27" ht="30" customHeight="1" x14ac:dyDescent="0.2">
      <c r="A9" s="130" t="s">
        <v>12</v>
      </c>
      <c r="B9" s="131"/>
      <c r="C9" s="131"/>
      <c r="D9" s="131"/>
      <c r="E9" s="131"/>
      <c r="F9" s="131"/>
      <c r="G9" s="131"/>
      <c r="H9" s="131"/>
      <c r="I9" s="132"/>
      <c r="J9" s="130" t="s">
        <v>13</v>
      </c>
      <c r="K9" s="131"/>
      <c r="L9" s="131"/>
      <c r="M9" s="131"/>
      <c r="N9" s="131"/>
      <c r="O9" s="131"/>
      <c r="P9" s="131"/>
      <c r="Q9" s="131"/>
      <c r="R9" s="132"/>
      <c r="S9" s="16"/>
      <c r="T9" s="16"/>
      <c r="U9" s="16"/>
      <c r="V9" s="16"/>
      <c r="W9" s="16"/>
      <c r="X9" s="16"/>
      <c r="Y9" s="16"/>
      <c r="Z9" s="16"/>
      <c r="AA9" s="16"/>
    </row>
    <row r="10" spans="1:27" ht="30" customHeight="1" x14ac:dyDescent="0.2">
      <c r="A10" s="133"/>
      <c r="B10" s="131"/>
      <c r="C10" s="131"/>
      <c r="D10" s="131"/>
      <c r="E10" s="131"/>
      <c r="F10" s="131"/>
      <c r="G10" s="131"/>
      <c r="H10" s="131"/>
      <c r="I10" s="132"/>
      <c r="J10" s="134"/>
      <c r="K10" s="131"/>
      <c r="L10" s="131"/>
      <c r="M10" s="131"/>
      <c r="N10" s="131"/>
      <c r="O10" s="131"/>
      <c r="P10" s="131"/>
      <c r="Q10" s="131"/>
      <c r="R10" s="132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4.5" customHeight="1" x14ac:dyDescent="0.2">
      <c r="A11" s="4" t="s">
        <v>14</v>
      </c>
      <c r="B11" s="130" t="s">
        <v>15</v>
      </c>
      <c r="C11" s="131"/>
      <c r="D11" s="132"/>
      <c r="E11" s="5" t="s">
        <v>16</v>
      </c>
      <c r="F11" s="5" t="s">
        <v>17</v>
      </c>
      <c r="G11" s="5" t="s">
        <v>18</v>
      </c>
      <c r="H11" s="4" t="s">
        <v>19</v>
      </c>
      <c r="I11" s="4" t="s">
        <v>20</v>
      </c>
      <c r="J11" s="4" t="s">
        <v>21</v>
      </c>
      <c r="K11" s="6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Q11" s="4" t="s">
        <v>28</v>
      </c>
      <c r="R11" s="4" t="s">
        <v>29</v>
      </c>
      <c r="S11" s="2"/>
      <c r="T11" s="2"/>
      <c r="U11" s="2"/>
      <c r="V11" s="2"/>
      <c r="W11" s="2"/>
      <c r="X11" s="2"/>
      <c r="Y11" s="2"/>
      <c r="Z11" s="2"/>
      <c r="AA11" s="2"/>
    </row>
    <row r="12" spans="1:27" ht="30" customHeight="1" x14ac:dyDescent="0.2">
      <c r="A12" s="51">
        <v>1</v>
      </c>
      <c r="B12" s="189" t="s">
        <v>317</v>
      </c>
      <c r="C12" s="123"/>
      <c r="D12" s="124"/>
      <c r="E12" s="8" t="s">
        <v>458</v>
      </c>
      <c r="F12" s="8" t="s">
        <v>318</v>
      </c>
      <c r="G12" s="9" t="s">
        <v>33</v>
      </c>
      <c r="H12" s="10" t="s">
        <v>34</v>
      </c>
      <c r="I12" s="8" t="s">
        <v>35</v>
      </c>
      <c r="J12" s="49"/>
      <c r="K12" s="11" t="s">
        <v>58</v>
      </c>
      <c r="L12" s="11" t="s">
        <v>59</v>
      </c>
      <c r="M12" s="11" t="s">
        <v>65</v>
      </c>
      <c r="N12" s="11" t="s">
        <v>38</v>
      </c>
      <c r="O12" s="11" t="s">
        <v>91</v>
      </c>
      <c r="P12" s="11" t="s">
        <v>40</v>
      </c>
      <c r="Q12" s="11" t="s">
        <v>41</v>
      </c>
      <c r="R12" s="52" t="s">
        <v>394</v>
      </c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0" customHeight="1" x14ac:dyDescent="0.2">
      <c r="A13" s="51">
        <v>2</v>
      </c>
      <c r="B13" s="189" t="s">
        <v>319</v>
      </c>
      <c r="C13" s="123"/>
      <c r="D13" s="124"/>
      <c r="E13" s="8" t="s">
        <v>458</v>
      </c>
      <c r="F13" s="8" t="s">
        <v>318</v>
      </c>
      <c r="G13" s="9" t="s">
        <v>43</v>
      </c>
      <c r="H13" s="10" t="s">
        <v>34</v>
      </c>
      <c r="I13" s="8" t="s">
        <v>35</v>
      </c>
      <c r="J13" s="49"/>
      <c r="K13" s="11" t="s">
        <v>58</v>
      </c>
      <c r="L13" s="11" t="s">
        <v>59</v>
      </c>
      <c r="M13" s="11" t="s">
        <v>65</v>
      </c>
      <c r="N13" s="11" t="s">
        <v>38</v>
      </c>
      <c r="O13" s="11" t="s">
        <v>91</v>
      </c>
      <c r="P13" s="11" t="s">
        <v>40</v>
      </c>
      <c r="Q13" s="11" t="s">
        <v>41</v>
      </c>
      <c r="R13" s="52" t="s">
        <v>394</v>
      </c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30" customHeight="1" x14ac:dyDescent="0.2">
      <c r="A14" s="51">
        <v>3</v>
      </c>
      <c r="B14" s="170" t="s">
        <v>320</v>
      </c>
      <c r="C14" s="123"/>
      <c r="D14" s="124"/>
      <c r="E14" s="8" t="s">
        <v>458</v>
      </c>
      <c r="F14" s="8" t="s">
        <v>318</v>
      </c>
      <c r="G14" s="9" t="s">
        <v>45</v>
      </c>
      <c r="H14" s="10" t="s">
        <v>34</v>
      </c>
      <c r="I14" s="8" t="s">
        <v>35</v>
      </c>
      <c r="J14" s="49"/>
      <c r="K14" s="11" t="s">
        <v>58</v>
      </c>
      <c r="L14" s="11" t="s">
        <v>59</v>
      </c>
      <c r="M14" s="11" t="s">
        <v>65</v>
      </c>
      <c r="N14" s="11" t="s">
        <v>38</v>
      </c>
      <c r="O14" s="11" t="s">
        <v>91</v>
      </c>
      <c r="P14" s="11" t="s">
        <v>40</v>
      </c>
      <c r="Q14" s="11" t="s">
        <v>41</v>
      </c>
      <c r="R14" s="52" t="s">
        <v>394</v>
      </c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30" customHeight="1" x14ac:dyDescent="0.2">
      <c r="A15" s="51">
        <v>4</v>
      </c>
      <c r="B15" s="170" t="s">
        <v>321</v>
      </c>
      <c r="C15" s="123"/>
      <c r="D15" s="124"/>
      <c r="E15" s="8" t="s">
        <v>458</v>
      </c>
      <c r="F15" s="8" t="s">
        <v>318</v>
      </c>
      <c r="G15" s="9" t="s">
        <v>47</v>
      </c>
      <c r="H15" s="10" t="s">
        <v>34</v>
      </c>
      <c r="I15" s="8" t="s">
        <v>35</v>
      </c>
      <c r="J15" s="49"/>
      <c r="K15" s="11" t="s">
        <v>58</v>
      </c>
      <c r="L15" s="11" t="s">
        <v>59</v>
      </c>
      <c r="M15" s="11" t="s">
        <v>65</v>
      </c>
      <c r="N15" s="11" t="s">
        <v>38</v>
      </c>
      <c r="O15" s="11" t="s">
        <v>91</v>
      </c>
      <c r="P15" s="11" t="s">
        <v>40</v>
      </c>
      <c r="Q15" s="11" t="s">
        <v>41</v>
      </c>
      <c r="R15" s="52" t="s">
        <v>394</v>
      </c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0" customHeight="1" x14ac:dyDescent="0.2">
      <c r="A16" s="51">
        <v>5</v>
      </c>
      <c r="B16" s="170" t="s">
        <v>322</v>
      </c>
      <c r="C16" s="123"/>
      <c r="D16" s="124"/>
      <c r="E16" s="8" t="s">
        <v>458</v>
      </c>
      <c r="F16" s="8" t="s">
        <v>318</v>
      </c>
      <c r="G16" s="9" t="s">
        <v>49</v>
      </c>
      <c r="H16" s="10" t="s">
        <v>34</v>
      </c>
      <c r="I16" s="8" t="s">
        <v>35</v>
      </c>
      <c r="J16" s="49"/>
      <c r="K16" s="11" t="s">
        <v>58</v>
      </c>
      <c r="L16" s="11" t="s">
        <v>59</v>
      </c>
      <c r="M16" s="11" t="s">
        <v>65</v>
      </c>
      <c r="N16" s="11" t="s">
        <v>38</v>
      </c>
      <c r="O16" s="11" t="s">
        <v>91</v>
      </c>
      <c r="P16" s="11" t="s">
        <v>40</v>
      </c>
      <c r="Q16" s="11" t="s">
        <v>41</v>
      </c>
      <c r="R16" s="52" t="s">
        <v>394</v>
      </c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30" customHeight="1" x14ac:dyDescent="0.2">
      <c r="A17" s="51">
        <v>6</v>
      </c>
      <c r="B17" s="170" t="s">
        <v>323</v>
      </c>
      <c r="C17" s="123"/>
      <c r="D17" s="124"/>
      <c r="E17" s="8" t="s">
        <v>458</v>
      </c>
      <c r="F17" s="8" t="s">
        <v>318</v>
      </c>
      <c r="G17" s="9" t="s">
        <v>51</v>
      </c>
      <c r="H17" s="10" t="s">
        <v>34</v>
      </c>
      <c r="I17" s="8" t="s">
        <v>35</v>
      </c>
      <c r="J17" s="49"/>
      <c r="K17" s="11" t="s">
        <v>58</v>
      </c>
      <c r="L17" s="11" t="s">
        <v>59</v>
      </c>
      <c r="M17" s="11" t="s">
        <v>65</v>
      </c>
      <c r="N17" s="11" t="s">
        <v>38</v>
      </c>
      <c r="O17" s="11" t="s">
        <v>91</v>
      </c>
      <c r="P17" s="11" t="s">
        <v>40</v>
      </c>
      <c r="Q17" s="11" t="s">
        <v>41</v>
      </c>
      <c r="R17" s="52" t="s">
        <v>394</v>
      </c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8.75" customHeight="1" x14ac:dyDescent="0.2">
      <c r="A18" s="22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8.75" customHeight="1" x14ac:dyDescent="0.2">
      <c r="A19" s="22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8.75" customHeight="1" x14ac:dyDescent="0.2">
      <c r="A20" s="22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21" customHeight="1" thickBot="1" x14ac:dyDescent="0.25">
      <c r="A21" s="157" t="s">
        <v>83</v>
      </c>
      <c r="B21" s="155"/>
      <c r="C21" s="155"/>
      <c r="D21" s="155"/>
      <c r="E21" s="155"/>
      <c r="F21" s="155"/>
      <c r="G21" s="155"/>
      <c r="H21" s="155"/>
      <c r="I21" s="155"/>
      <c r="J21" s="15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24.75" customHeight="1" thickBot="1" x14ac:dyDescent="0.25">
      <c r="A22" s="158" t="s">
        <v>84</v>
      </c>
      <c r="B22" s="155"/>
      <c r="C22" s="159"/>
      <c r="D22" s="160"/>
      <c r="E22" s="155"/>
      <c r="F22" s="155"/>
      <c r="G22" s="155"/>
      <c r="H22" s="155"/>
      <c r="I22" s="155"/>
      <c r="J22" s="15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34.5" customHeight="1" thickBot="1" x14ac:dyDescent="0.25">
      <c r="A23" s="158" t="s">
        <v>85</v>
      </c>
      <c r="B23" s="155"/>
      <c r="C23" s="159"/>
      <c r="D23" s="154"/>
      <c r="E23" s="155"/>
      <c r="F23" s="155"/>
      <c r="G23" s="155"/>
      <c r="H23" s="155"/>
      <c r="I23" s="155"/>
      <c r="J23" s="15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34.5" customHeight="1" thickBot="1" x14ac:dyDescent="0.25">
      <c r="A24" s="158" t="s">
        <v>86</v>
      </c>
      <c r="B24" s="155"/>
      <c r="C24" s="159"/>
      <c r="D24" s="163"/>
      <c r="E24" s="162"/>
      <c r="F24" s="162"/>
      <c r="G24" s="162"/>
      <c r="H24" s="162"/>
      <c r="I24" s="162"/>
      <c r="J24" s="164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98.5" customHeight="1" thickBot="1" x14ac:dyDescent="0.25">
      <c r="A25" s="158" t="s">
        <v>87</v>
      </c>
      <c r="B25" s="155"/>
      <c r="C25" s="159"/>
      <c r="D25" s="154"/>
      <c r="E25" s="155"/>
      <c r="F25" s="155"/>
      <c r="G25" s="155"/>
      <c r="H25" s="155"/>
      <c r="I25" s="155"/>
      <c r="J25" s="15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8.75" customHeight="1" x14ac:dyDescent="0.2">
      <c r="A26" s="22"/>
      <c r="B26" s="16"/>
      <c r="C26" s="23"/>
      <c r="D26" s="24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8.75" customHeight="1" x14ac:dyDescent="0.2">
      <c r="A27" s="22"/>
      <c r="B27" s="16"/>
      <c r="C27" s="23"/>
      <c r="D27" s="2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8.75" customHeight="1" x14ac:dyDescent="0.2">
      <c r="A28" s="22"/>
      <c r="B28" s="16"/>
      <c r="C28" s="23"/>
      <c r="D28" s="24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8.75" customHeight="1" x14ac:dyDescent="0.2">
      <c r="A29" s="22"/>
      <c r="B29" s="16"/>
      <c r="C29" s="23"/>
      <c r="D29" s="24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8.75" customHeight="1" x14ac:dyDescent="0.2">
      <c r="A30" s="22"/>
      <c r="B30" s="16"/>
      <c r="C30" s="23"/>
      <c r="D30" s="24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8.75" customHeight="1" x14ac:dyDescent="0.2">
      <c r="A31" s="22"/>
      <c r="B31" s="16"/>
      <c r="C31" s="23"/>
      <c r="D31" s="24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8.75" customHeight="1" x14ac:dyDescent="0.2">
      <c r="A32" s="22"/>
      <c r="B32" s="16"/>
      <c r="C32" s="23"/>
      <c r="D32" s="24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8.75" customHeight="1" x14ac:dyDescent="0.2">
      <c r="A33" s="22"/>
      <c r="B33" s="16"/>
      <c r="C33" s="23"/>
      <c r="D33" s="24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8.75" customHeight="1" x14ac:dyDescent="0.2">
      <c r="A34" s="22"/>
      <c r="B34" s="16"/>
      <c r="C34" s="23"/>
      <c r="D34" s="24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8.75" customHeight="1" x14ac:dyDescent="0.2">
      <c r="A35" s="22"/>
      <c r="B35" s="16"/>
      <c r="C35" s="23"/>
      <c r="D35" s="24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8.75" customHeight="1" x14ac:dyDescent="0.2">
      <c r="A36" s="22"/>
      <c r="B36" s="16"/>
      <c r="C36" s="23"/>
      <c r="D36" s="24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8.75" customHeight="1" x14ac:dyDescent="0.2">
      <c r="A37" s="22"/>
      <c r="B37" s="16"/>
      <c r="C37" s="23"/>
      <c r="D37" s="2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8.75" customHeight="1" x14ac:dyDescent="0.2">
      <c r="A38" s="22"/>
      <c r="B38" s="16"/>
      <c r="C38" s="23"/>
      <c r="D38" s="24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8.75" customHeight="1" x14ac:dyDescent="0.2">
      <c r="A39" s="22"/>
      <c r="B39" s="16"/>
      <c r="C39" s="23"/>
      <c r="D39" s="24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8.75" customHeight="1" x14ac:dyDescent="0.2">
      <c r="A40" s="22"/>
      <c r="B40" s="16"/>
      <c r="C40" s="23"/>
      <c r="D40" s="24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8.75" customHeight="1" x14ac:dyDescent="0.2">
      <c r="A41" s="22"/>
      <c r="B41" s="16"/>
      <c r="C41" s="23"/>
      <c r="D41" s="24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8.75" customHeight="1" x14ac:dyDescent="0.2">
      <c r="A42" s="22"/>
      <c r="B42" s="16"/>
      <c r="C42" s="23"/>
      <c r="D42" s="24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8.75" customHeight="1" x14ac:dyDescent="0.2">
      <c r="A43" s="22"/>
      <c r="B43" s="16"/>
      <c r="C43" s="23"/>
      <c r="D43" s="24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8.75" customHeight="1" x14ac:dyDescent="0.2">
      <c r="A44" s="22"/>
      <c r="B44" s="16"/>
      <c r="C44" s="23"/>
      <c r="D44" s="24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8.75" customHeight="1" x14ac:dyDescent="0.2">
      <c r="A45" s="22"/>
      <c r="B45" s="16"/>
      <c r="C45" s="23"/>
      <c r="D45" s="24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8.75" customHeight="1" x14ac:dyDescent="0.2">
      <c r="A46" s="22"/>
      <c r="B46" s="16"/>
      <c r="C46" s="23"/>
      <c r="D46" s="2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8.75" customHeight="1" x14ac:dyDescent="0.2">
      <c r="A47" s="22"/>
      <c r="B47" s="16"/>
      <c r="C47" s="23"/>
      <c r="D47" s="2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8.75" customHeight="1" x14ac:dyDescent="0.2">
      <c r="A48" s="22"/>
      <c r="B48" s="16"/>
      <c r="C48" s="23"/>
      <c r="D48" s="24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8.75" customHeight="1" x14ac:dyDescent="0.2">
      <c r="A49" s="22"/>
      <c r="B49" s="16"/>
      <c r="C49" s="23"/>
      <c r="D49" s="24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8.75" customHeight="1" x14ac:dyDescent="0.2">
      <c r="A50" s="22"/>
      <c r="B50" s="16"/>
      <c r="C50" s="23"/>
      <c r="D50" s="24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8.75" customHeight="1" x14ac:dyDescent="0.2">
      <c r="A51" s="22"/>
      <c r="B51" s="16"/>
      <c r="C51" s="23"/>
      <c r="D51" s="24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8.75" customHeight="1" x14ac:dyDescent="0.2">
      <c r="A52" s="22"/>
      <c r="B52" s="16"/>
      <c r="C52" s="23"/>
      <c r="D52" s="24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8.75" customHeight="1" x14ac:dyDescent="0.2">
      <c r="A53" s="22"/>
      <c r="B53" s="16"/>
      <c r="C53" s="23"/>
      <c r="D53" s="24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8.75" customHeight="1" x14ac:dyDescent="0.2">
      <c r="A54" s="22"/>
      <c r="B54" s="16"/>
      <c r="C54" s="23"/>
      <c r="D54" s="24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8.75" customHeight="1" x14ac:dyDescent="0.2">
      <c r="A55" s="22"/>
      <c r="B55" s="16"/>
      <c r="C55" s="23"/>
      <c r="D55" s="24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8.75" customHeight="1" x14ac:dyDescent="0.2">
      <c r="A56" s="22"/>
      <c r="B56" s="16"/>
      <c r="C56" s="23"/>
      <c r="D56" s="24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8.75" customHeight="1" x14ac:dyDescent="0.2">
      <c r="A57" s="22"/>
      <c r="B57" s="16"/>
      <c r="C57" s="23"/>
      <c r="D57" s="24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8.75" customHeight="1" x14ac:dyDescent="0.2">
      <c r="A58" s="22"/>
      <c r="B58" s="16"/>
      <c r="C58" s="23"/>
      <c r="D58" s="2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8.75" customHeight="1" x14ac:dyDescent="0.2">
      <c r="A59" s="22"/>
      <c r="B59" s="16"/>
      <c r="C59" s="23"/>
      <c r="D59" s="2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8.75" customHeight="1" x14ac:dyDescent="0.2">
      <c r="A60" s="22"/>
      <c r="B60" s="16"/>
      <c r="C60" s="23"/>
      <c r="D60" s="24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8.75" customHeight="1" x14ac:dyDescent="0.2">
      <c r="A61" s="22"/>
      <c r="B61" s="16"/>
      <c r="C61" s="23"/>
      <c r="D61" s="24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8.75" customHeight="1" x14ac:dyDescent="0.2">
      <c r="A62" s="22"/>
      <c r="B62" s="16"/>
      <c r="C62" s="23"/>
      <c r="D62" s="24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8.75" customHeight="1" x14ac:dyDescent="0.2">
      <c r="A63" s="22"/>
      <c r="B63" s="16"/>
      <c r="C63" s="23"/>
      <c r="D63" s="24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8.75" customHeight="1" x14ac:dyDescent="0.2">
      <c r="A64" s="22"/>
      <c r="B64" s="16"/>
      <c r="C64" s="23"/>
      <c r="D64" s="24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8.75" customHeight="1" x14ac:dyDescent="0.2">
      <c r="A65" s="22"/>
      <c r="B65" s="16"/>
      <c r="C65" s="23"/>
      <c r="D65" s="24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8.75" customHeight="1" x14ac:dyDescent="0.2">
      <c r="A66" s="22"/>
      <c r="B66" s="16"/>
      <c r="C66" s="23"/>
      <c r="D66" s="24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8.75" customHeight="1" x14ac:dyDescent="0.2">
      <c r="A67" s="22"/>
      <c r="B67" s="16"/>
      <c r="C67" s="23"/>
      <c r="D67" s="24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8.75" customHeight="1" x14ac:dyDescent="0.2">
      <c r="A68" s="22"/>
      <c r="B68" s="16"/>
      <c r="C68" s="23"/>
      <c r="D68" s="24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8.75" customHeight="1" x14ac:dyDescent="0.2">
      <c r="A69" s="22"/>
      <c r="B69" s="16"/>
      <c r="C69" s="23"/>
      <c r="D69" s="2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8.75" customHeight="1" x14ac:dyDescent="0.2">
      <c r="A70" s="22"/>
      <c r="B70" s="16"/>
      <c r="C70" s="23"/>
      <c r="D70" s="24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8.75" customHeight="1" x14ac:dyDescent="0.2">
      <c r="A71" s="22"/>
      <c r="B71" s="16"/>
      <c r="C71" s="23"/>
      <c r="D71" s="24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8.75" customHeight="1" x14ac:dyDescent="0.2">
      <c r="A72" s="22"/>
      <c r="B72" s="16"/>
      <c r="C72" s="23"/>
      <c r="D72" s="24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8.75" customHeight="1" x14ac:dyDescent="0.2">
      <c r="A73" s="22"/>
      <c r="B73" s="16"/>
      <c r="C73" s="23"/>
      <c r="D73" s="24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8.75" customHeight="1" x14ac:dyDescent="0.2">
      <c r="A74" s="22"/>
      <c r="B74" s="16"/>
      <c r="C74" s="23"/>
      <c r="D74" s="24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8.75" customHeight="1" x14ac:dyDescent="0.2">
      <c r="A75" s="22"/>
      <c r="B75" s="16"/>
      <c r="C75" s="23"/>
      <c r="D75" s="24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8.75" customHeight="1" x14ac:dyDescent="0.2">
      <c r="A76" s="22"/>
      <c r="B76" s="16"/>
      <c r="C76" s="23"/>
      <c r="D76" s="24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8.75" customHeight="1" x14ac:dyDescent="0.2">
      <c r="A77" s="22"/>
      <c r="B77" s="16"/>
      <c r="C77" s="23"/>
      <c r="D77" s="24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8.75" customHeight="1" x14ac:dyDescent="0.2">
      <c r="A78" s="22"/>
      <c r="B78" s="16"/>
      <c r="C78" s="23"/>
      <c r="D78" s="24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8.75" customHeight="1" x14ac:dyDescent="0.2">
      <c r="A79" s="22"/>
      <c r="B79" s="16"/>
      <c r="C79" s="23"/>
      <c r="D79" s="24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8.75" customHeight="1" x14ac:dyDescent="0.2">
      <c r="A80" s="22"/>
      <c r="B80" s="16"/>
      <c r="C80" s="23"/>
      <c r="D80" s="24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8.75" customHeight="1" x14ac:dyDescent="0.2">
      <c r="A81" s="22"/>
      <c r="B81" s="16"/>
      <c r="C81" s="23"/>
      <c r="D81" s="24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8.75" customHeight="1" x14ac:dyDescent="0.2">
      <c r="A82" s="22"/>
      <c r="B82" s="16"/>
      <c r="C82" s="23"/>
      <c r="D82" s="24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8.75" customHeight="1" x14ac:dyDescent="0.2">
      <c r="A83" s="22"/>
      <c r="B83" s="16"/>
      <c r="C83" s="23"/>
      <c r="D83" s="24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8.75" customHeight="1" x14ac:dyDescent="0.2">
      <c r="A84" s="22"/>
      <c r="B84" s="16"/>
      <c r="C84" s="23"/>
      <c r="D84" s="24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8.75" customHeight="1" x14ac:dyDescent="0.2">
      <c r="A85" s="22"/>
      <c r="B85" s="16"/>
      <c r="C85" s="23"/>
      <c r="D85" s="24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8.75" customHeight="1" x14ac:dyDescent="0.2">
      <c r="A86" s="22"/>
      <c r="B86" s="16"/>
      <c r="C86" s="23"/>
      <c r="D86" s="24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8.75" customHeight="1" x14ac:dyDescent="0.2">
      <c r="A87" s="22"/>
      <c r="B87" s="16"/>
      <c r="C87" s="23"/>
      <c r="D87" s="24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8.75" customHeight="1" x14ac:dyDescent="0.2">
      <c r="A88" s="22"/>
      <c r="B88" s="16"/>
      <c r="C88" s="23"/>
      <c r="D88" s="24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8.75" customHeight="1" x14ac:dyDescent="0.2">
      <c r="A89" s="22"/>
      <c r="B89" s="16"/>
      <c r="C89" s="23"/>
      <c r="D89" s="24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8.75" customHeight="1" x14ac:dyDescent="0.2">
      <c r="A90" s="22"/>
      <c r="B90" s="16"/>
      <c r="C90" s="23"/>
      <c r="D90" s="24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8.75" customHeight="1" x14ac:dyDescent="0.2">
      <c r="A91" s="22"/>
      <c r="B91" s="16"/>
      <c r="C91" s="23"/>
      <c r="D91" s="24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8.75" customHeight="1" x14ac:dyDescent="0.2">
      <c r="A92" s="22"/>
      <c r="B92" s="16"/>
      <c r="C92" s="23"/>
      <c r="D92" s="24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8.75" customHeight="1" x14ac:dyDescent="0.2">
      <c r="A93" s="22"/>
      <c r="B93" s="16"/>
      <c r="C93" s="23"/>
      <c r="D93" s="24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8.75" customHeight="1" x14ac:dyDescent="0.2">
      <c r="A94" s="22"/>
      <c r="B94" s="16"/>
      <c r="C94" s="23"/>
      <c r="D94" s="24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8.75" customHeight="1" x14ac:dyDescent="0.2">
      <c r="A95" s="22"/>
      <c r="B95" s="16"/>
      <c r="C95" s="23"/>
      <c r="D95" s="24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8.75" customHeight="1" x14ac:dyDescent="0.2">
      <c r="A96" s="22"/>
      <c r="B96" s="16"/>
      <c r="C96" s="23"/>
      <c r="D96" s="24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8.75" customHeight="1" x14ac:dyDescent="0.2">
      <c r="A97" s="22"/>
      <c r="B97" s="16"/>
      <c r="C97" s="23"/>
      <c r="D97" s="24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8.75" customHeight="1" x14ac:dyDescent="0.2">
      <c r="A98" s="22"/>
      <c r="B98" s="16"/>
      <c r="C98" s="23"/>
      <c r="D98" s="24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8.75" customHeight="1" x14ac:dyDescent="0.2">
      <c r="A99" s="22"/>
      <c r="B99" s="16"/>
      <c r="C99" s="23"/>
      <c r="D99" s="24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8.75" customHeight="1" x14ac:dyDescent="0.2">
      <c r="A100" s="22"/>
      <c r="B100" s="16"/>
      <c r="C100" s="23"/>
      <c r="D100" s="24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8.75" customHeight="1" x14ac:dyDescent="0.2">
      <c r="A101" s="22"/>
      <c r="B101" s="16"/>
      <c r="C101" s="23"/>
      <c r="D101" s="24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8.75" customHeight="1" x14ac:dyDescent="0.2">
      <c r="A102" s="22"/>
      <c r="B102" s="16"/>
      <c r="C102" s="23"/>
      <c r="D102" s="24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8.75" customHeight="1" x14ac:dyDescent="0.2">
      <c r="A103" s="22"/>
      <c r="B103" s="16"/>
      <c r="C103" s="23"/>
      <c r="D103" s="24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8.75" customHeight="1" x14ac:dyDescent="0.2">
      <c r="A104" s="22"/>
      <c r="B104" s="16"/>
      <c r="C104" s="23"/>
      <c r="D104" s="24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8.75" customHeight="1" x14ac:dyDescent="0.2">
      <c r="A105" s="22"/>
      <c r="B105" s="16"/>
      <c r="C105" s="23"/>
      <c r="D105" s="24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8.75" customHeight="1" x14ac:dyDescent="0.2">
      <c r="A106" s="22"/>
      <c r="B106" s="16"/>
      <c r="C106" s="23"/>
      <c r="D106" s="24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8.75" customHeight="1" x14ac:dyDescent="0.2">
      <c r="A107" s="22"/>
      <c r="B107" s="16"/>
      <c r="C107" s="23"/>
      <c r="D107" s="24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8.75" customHeight="1" x14ac:dyDescent="0.2">
      <c r="A108" s="22"/>
      <c r="B108" s="16"/>
      <c r="C108" s="23"/>
      <c r="D108" s="24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8.75" customHeight="1" x14ac:dyDescent="0.2">
      <c r="A109" s="22"/>
      <c r="B109" s="16"/>
      <c r="C109" s="23"/>
      <c r="D109" s="24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8.75" customHeight="1" x14ac:dyDescent="0.2">
      <c r="A110" s="22"/>
      <c r="B110" s="16"/>
      <c r="C110" s="23"/>
      <c r="D110" s="24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8.75" customHeight="1" x14ac:dyDescent="0.2">
      <c r="A111" s="22"/>
      <c r="B111" s="16"/>
      <c r="C111" s="23"/>
      <c r="D111" s="24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8.75" customHeight="1" x14ac:dyDescent="0.2">
      <c r="A112" s="22"/>
      <c r="B112" s="16"/>
      <c r="C112" s="23"/>
      <c r="D112" s="24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8.75" customHeight="1" x14ac:dyDescent="0.2">
      <c r="A113" s="22"/>
      <c r="B113" s="16"/>
      <c r="C113" s="23"/>
      <c r="D113" s="24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8.75" customHeight="1" x14ac:dyDescent="0.2">
      <c r="A114" s="22"/>
      <c r="B114" s="16"/>
      <c r="C114" s="23"/>
      <c r="D114" s="24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8.75" customHeight="1" x14ac:dyDescent="0.2">
      <c r="A115" s="22"/>
      <c r="B115" s="16"/>
      <c r="C115" s="23"/>
      <c r="D115" s="24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8.75" customHeight="1" x14ac:dyDescent="0.2">
      <c r="A116" s="22"/>
      <c r="B116" s="16"/>
      <c r="C116" s="23"/>
      <c r="D116" s="24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8.75" customHeight="1" x14ac:dyDescent="0.2">
      <c r="A117" s="22"/>
      <c r="B117" s="16"/>
      <c r="C117" s="23"/>
      <c r="D117" s="24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8.75" customHeight="1" x14ac:dyDescent="0.2">
      <c r="A118" s="22"/>
      <c r="B118" s="16"/>
      <c r="C118" s="23"/>
      <c r="D118" s="24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8.75" customHeight="1" x14ac:dyDescent="0.2">
      <c r="A119" s="22"/>
      <c r="B119" s="16"/>
      <c r="C119" s="23"/>
      <c r="D119" s="24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8.75" customHeight="1" x14ac:dyDescent="0.2">
      <c r="A120" s="22"/>
      <c r="B120" s="16"/>
      <c r="C120" s="23"/>
      <c r="D120" s="24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8.75" customHeight="1" x14ac:dyDescent="0.2">
      <c r="A121" s="22"/>
      <c r="B121" s="16"/>
      <c r="C121" s="23"/>
      <c r="D121" s="24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8.75" customHeight="1" x14ac:dyDescent="0.2">
      <c r="A122" s="22"/>
      <c r="B122" s="16"/>
      <c r="C122" s="23"/>
      <c r="D122" s="24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8.75" customHeight="1" x14ac:dyDescent="0.2">
      <c r="A123" s="22"/>
      <c r="B123" s="16"/>
      <c r="C123" s="23"/>
      <c r="D123" s="24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8.75" customHeight="1" x14ac:dyDescent="0.2">
      <c r="A124" s="22"/>
      <c r="B124" s="16"/>
      <c r="C124" s="23"/>
      <c r="D124" s="24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8.75" customHeight="1" x14ac:dyDescent="0.2">
      <c r="A125" s="22"/>
      <c r="B125" s="16"/>
      <c r="C125" s="23"/>
      <c r="D125" s="24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8.75" customHeight="1" x14ac:dyDescent="0.2">
      <c r="A126" s="22"/>
      <c r="B126" s="16"/>
      <c r="C126" s="23"/>
      <c r="D126" s="24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8.75" customHeight="1" x14ac:dyDescent="0.2">
      <c r="A127" s="22"/>
      <c r="B127" s="16"/>
      <c r="C127" s="23"/>
      <c r="D127" s="24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8.75" customHeight="1" x14ac:dyDescent="0.2">
      <c r="A128" s="22"/>
      <c r="B128" s="16"/>
      <c r="C128" s="23"/>
      <c r="D128" s="24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8.75" customHeight="1" x14ac:dyDescent="0.2">
      <c r="A129" s="22"/>
      <c r="B129" s="16"/>
      <c r="C129" s="23"/>
      <c r="D129" s="24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8.75" customHeight="1" x14ac:dyDescent="0.2">
      <c r="A130" s="22"/>
      <c r="B130" s="16"/>
      <c r="C130" s="23"/>
      <c r="D130" s="24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8.75" customHeight="1" x14ac:dyDescent="0.2">
      <c r="A131" s="22"/>
      <c r="B131" s="16"/>
      <c r="C131" s="23"/>
      <c r="D131" s="24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8.75" customHeight="1" x14ac:dyDescent="0.2">
      <c r="A132" s="22"/>
      <c r="B132" s="16"/>
      <c r="C132" s="23"/>
      <c r="D132" s="24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8.75" customHeight="1" x14ac:dyDescent="0.2">
      <c r="A133" s="22"/>
      <c r="B133" s="16"/>
      <c r="C133" s="23"/>
      <c r="D133" s="24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8.75" customHeight="1" x14ac:dyDescent="0.2">
      <c r="A134" s="22"/>
      <c r="B134" s="16"/>
      <c r="C134" s="23"/>
      <c r="D134" s="24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8.75" customHeight="1" x14ac:dyDescent="0.2">
      <c r="A135" s="22"/>
      <c r="B135" s="16"/>
      <c r="C135" s="23"/>
      <c r="D135" s="24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8.75" customHeight="1" x14ac:dyDescent="0.2">
      <c r="A136" s="22"/>
      <c r="B136" s="16"/>
      <c r="C136" s="23"/>
      <c r="D136" s="24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8.75" customHeight="1" x14ac:dyDescent="0.2">
      <c r="A137" s="22"/>
      <c r="B137" s="16"/>
      <c r="C137" s="23"/>
      <c r="D137" s="2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8.75" customHeight="1" x14ac:dyDescent="0.2">
      <c r="A138" s="22"/>
      <c r="B138" s="16"/>
      <c r="C138" s="23"/>
      <c r="D138" s="24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8.75" customHeight="1" x14ac:dyDescent="0.2">
      <c r="A139" s="22"/>
      <c r="B139" s="16"/>
      <c r="C139" s="23"/>
      <c r="D139" s="24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8.75" customHeight="1" x14ac:dyDescent="0.2">
      <c r="A140" s="22"/>
      <c r="B140" s="16"/>
      <c r="C140" s="23"/>
      <c r="D140" s="24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8.75" customHeight="1" x14ac:dyDescent="0.2">
      <c r="A141" s="22"/>
      <c r="B141" s="16"/>
      <c r="C141" s="23"/>
      <c r="D141" s="24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8.75" customHeight="1" x14ac:dyDescent="0.2">
      <c r="A142" s="22"/>
      <c r="B142" s="16"/>
      <c r="C142" s="23"/>
      <c r="D142" s="24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8.75" customHeight="1" x14ac:dyDescent="0.2">
      <c r="A143" s="22"/>
      <c r="B143" s="16"/>
      <c r="C143" s="23"/>
      <c r="D143" s="24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8.75" customHeight="1" x14ac:dyDescent="0.2">
      <c r="A144" s="22"/>
      <c r="B144" s="16"/>
      <c r="C144" s="23"/>
      <c r="D144" s="24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8.75" customHeight="1" x14ac:dyDescent="0.2">
      <c r="A145" s="22"/>
      <c r="B145" s="16"/>
      <c r="C145" s="23"/>
      <c r="D145" s="24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8.75" customHeight="1" x14ac:dyDescent="0.2">
      <c r="A146" s="22"/>
      <c r="B146" s="16"/>
      <c r="C146" s="23"/>
      <c r="D146" s="24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8.75" customHeight="1" x14ac:dyDescent="0.2">
      <c r="A147" s="22"/>
      <c r="B147" s="16"/>
      <c r="C147" s="23"/>
      <c r="D147" s="24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8.75" customHeight="1" x14ac:dyDescent="0.2">
      <c r="A148" s="22"/>
      <c r="B148" s="16"/>
      <c r="C148" s="23"/>
      <c r="D148" s="24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8.75" customHeight="1" x14ac:dyDescent="0.2">
      <c r="A149" s="22"/>
      <c r="B149" s="16"/>
      <c r="C149" s="23"/>
      <c r="D149" s="24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8.75" customHeight="1" x14ac:dyDescent="0.2">
      <c r="A150" s="22"/>
      <c r="B150" s="16"/>
      <c r="C150" s="23"/>
      <c r="D150" s="24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8.75" customHeight="1" x14ac:dyDescent="0.2">
      <c r="A151" s="22"/>
      <c r="B151" s="16"/>
      <c r="C151" s="23"/>
      <c r="D151" s="24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8.75" customHeight="1" x14ac:dyDescent="0.2">
      <c r="A152" s="22"/>
      <c r="B152" s="16"/>
      <c r="C152" s="23"/>
      <c r="D152" s="24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8.75" customHeight="1" x14ac:dyDescent="0.2">
      <c r="A153" s="22"/>
      <c r="B153" s="16"/>
      <c r="C153" s="23"/>
      <c r="D153" s="24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8.75" customHeight="1" x14ac:dyDescent="0.2">
      <c r="A154" s="22"/>
      <c r="B154" s="16"/>
      <c r="C154" s="23"/>
      <c r="D154" s="24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8.75" customHeight="1" x14ac:dyDescent="0.2">
      <c r="A155" s="22"/>
      <c r="B155" s="16"/>
      <c r="C155" s="23"/>
      <c r="D155" s="24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8.75" customHeight="1" x14ac:dyDescent="0.2">
      <c r="A156" s="22"/>
      <c r="B156" s="16"/>
      <c r="C156" s="23"/>
      <c r="D156" s="24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8.75" customHeight="1" x14ac:dyDescent="0.2">
      <c r="A157" s="22"/>
      <c r="B157" s="16"/>
      <c r="C157" s="23"/>
      <c r="D157" s="24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8.75" customHeight="1" x14ac:dyDescent="0.2">
      <c r="A158" s="22"/>
      <c r="B158" s="16"/>
      <c r="C158" s="23"/>
      <c r="D158" s="24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8.75" customHeight="1" x14ac:dyDescent="0.2">
      <c r="A159" s="22"/>
      <c r="B159" s="16"/>
      <c r="C159" s="23"/>
      <c r="D159" s="24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8.75" customHeight="1" x14ac:dyDescent="0.2">
      <c r="A160" s="22"/>
      <c r="B160" s="16"/>
      <c r="C160" s="23"/>
      <c r="D160" s="24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8.75" customHeight="1" x14ac:dyDescent="0.2">
      <c r="A161" s="22"/>
      <c r="B161" s="16"/>
      <c r="C161" s="23"/>
      <c r="D161" s="24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8.75" customHeight="1" x14ac:dyDescent="0.2">
      <c r="A162" s="22"/>
      <c r="B162" s="16"/>
      <c r="C162" s="23"/>
      <c r="D162" s="24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8.75" customHeight="1" x14ac:dyDescent="0.2">
      <c r="A163" s="22"/>
      <c r="B163" s="16"/>
      <c r="C163" s="23"/>
      <c r="D163" s="24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8.75" customHeight="1" x14ac:dyDescent="0.2">
      <c r="A164" s="22"/>
      <c r="B164" s="16"/>
      <c r="C164" s="23"/>
      <c r="D164" s="24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8.75" customHeight="1" x14ac:dyDescent="0.2">
      <c r="A165" s="22"/>
      <c r="B165" s="16"/>
      <c r="C165" s="23"/>
      <c r="D165" s="24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8.75" customHeight="1" x14ac:dyDescent="0.2">
      <c r="A166" s="22"/>
      <c r="B166" s="16"/>
      <c r="C166" s="23"/>
      <c r="D166" s="24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8.75" customHeight="1" x14ac:dyDescent="0.2">
      <c r="A167" s="22"/>
      <c r="B167" s="16"/>
      <c r="C167" s="23"/>
      <c r="D167" s="24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8.75" customHeight="1" x14ac:dyDescent="0.2">
      <c r="A168" s="22"/>
      <c r="B168" s="16"/>
      <c r="C168" s="23"/>
      <c r="D168" s="24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8.75" customHeight="1" x14ac:dyDescent="0.2">
      <c r="A169" s="22"/>
      <c r="B169" s="16"/>
      <c r="C169" s="23"/>
      <c r="D169" s="24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8.75" customHeight="1" x14ac:dyDescent="0.2">
      <c r="A170" s="22"/>
      <c r="B170" s="16"/>
      <c r="C170" s="23"/>
      <c r="D170" s="24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8.75" customHeight="1" x14ac:dyDescent="0.2">
      <c r="A171" s="22"/>
      <c r="B171" s="16"/>
      <c r="C171" s="23"/>
      <c r="D171" s="24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8.75" customHeight="1" x14ac:dyDescent="0.2">
      <c r="A172" s="22"/>
      <c r="B172" s="16"/>
      <c r="C172" s="23"/>
      <c r="D172" s="24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8.75" customHeight="1" x14ac:dyDescent="0.2">
      <c r="A173" s="22"/>
      <c r="B173" s="16"/>
      <c r="C173" s="23"/>
      <c r="D173" s="24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8.75" customHeight="1" x14ac:dyDescent="0.2">
      <c r="A174" s="22"/>
      <c r="B174" s="16"/>
      <c r="C174" s="23"/>
      <c r="D174" s="2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8.75" customHeight="1" x14ac:dyDescent="0.2">
      <c r="A175" s="22"/>
      <c r="B175" s="16"/>
      <c r="C175" s="23"/>
      <c r="D175" s="24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8.75" customHeight="1" x14ac:dyDescent="0.2">
      <c r="A176" s="22"/>
      <c r="B176" s="16"/>
      <c r="C176" s="23"/>
      <c r="D176" s="24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8.75" customHeight="1" x14ac:dyDescent="0.2">
      <c r="A177" s="22"/>
      <c r="B177" s="16"/>
      <c r="C177" s="23"/>
      <c r="D177" s="24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8.75" customHeight="1" x14ac:dyDescent="0.2">
      <c r="A178" s="22"/>
      <c r="B178" s="16"/>
      <c r="C178" s="23"/>
      <c r="D178" s="24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8.75" customHeight="1" x14ac:dyDescent="0.2">
      <c r="A179" s="22"/>
      <c r="B179" s="16"/>
      <c r="C179" s="23"/>
      <c r="D179" s="24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8.75" customHeight="1" x14ac:dyDescent="0.2">
      <c r="A180" s="22"/>
      <c r="B180" s="16"/>
      <c r="C180" s="23"/>
      <c r="D180" s="24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8.75" customHeight="1" x14ac:dyDescent="0.2">
      <c r="A181" s="22"/>
      <c r="B181" s="16"/>
      <c r="C181" s="23"/>
      <c r="D181" s="24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8.75" customHeight="1" x14ac:dyDescent="0.2">
      <c r="A182" s="22"/>
      <c r="B182" s="16"/>
      <c r="C182" s="23"/>
      <c r="D182" s="24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8.75" customHeight="1" x14ac:dyDescent="0.2">
      <c r="A183" s="22"/>
      <c r="B183" s="16"/>
      <c r="C183" s="23"/>
      <c r="D183" s="2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8.75" customHeight="1" x14ac:dyDescent="0.2">
      <c r="A184" s="22"/>
      <c r="B184" s="16"/>
      <c r="C184" s="23"/>
      <c r="D184" s="24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8.75" customHeight="1" x14ac:dyDescent="0.2">
      <c r="A185" s="22"/>
      <c r="B185" s="16"/>
      <c r="C185" s="23"/>
      <c r="D185" s="24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8.75" customHeight="1" x14ac:dyDescent="0.2">
      <c r="A186" s="22"/>
      <c r="B186" s="16"/>
      <c r="C186" s="23"/>
      <c r="D186" s="24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8.75" customHeight="1" x14ac:dyDescent="0.2">
      <c r="A187" s="22"/>
      <c r="B187" s="16"/>
      <c r="C187" s="23"/>
      <c r="D187" s="24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8.75" customHeight="1" x14ac:dyDescent="0.2">
      <c r="A188" s="22"/>
      <c r="B188" s="16"/>
      <c r="C188" s="23"/>
      <c r="D188" s="24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8.75" customHeight="1" x14ac:dyDescent="0.2">
      <c r="A189" s="22"/>
      <c r="B189" s="16"/>
      <c r="C189" s="23"/>
      <c r="D189" s="24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8.75" customHeight="1" x14ac:dyDescent="0.2">
      <c r="A190" s="22"/>
      <c r="B190" s="16"/>
      <c r="C190" s="23"/>
      <c r="D190" s="2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8.75" customHeight="1" x14ac:dyDescent="0.2">
      <c r="A191" s="22"/>
      <c r="B191" s="16"/>
      <c r="C191" s="23"/>
      <c r="D191" s="2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8.75" customHeight="1" x14ac:dyDescent="0.2">
      <c r="A192" s="22"/>
      <c r="B192" s="16"/>
      <c r="C192" s="23"/>
      <c r="D192" s="2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8.75" customHeight="1" x14ac:dyDescent="0.2">
      <c r="A193" s="22"/>
      <c r="B193" s="16"/>
      <c r="C193" s="23"/>
      <c r="D193" s="24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8.75" customHeight="1" x14ac:dyDescent="0.2">
      <c r="A194" s="22"/>
      <c r="B194" s="16"/>
      <c r="C194" s="23"/>
      <c r="D194" s="24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8.75" customHeight="1" x14ac:dyDescent="0.2">
      <c r="A195" s="22"/>
      <c r="B195" s="16"/>
      <c r="C195" s="23"/>
      <c r="D195" s="24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8.75" customHeight="1" x14ac:dyDescent="0.2">
      <c r="A196" s="22"/>
      <c r="B196" s="16"/>
      <c r="C196" s="23"/>
      <c r="D196" s="2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8.75" customHeight="1" x14ac:dyDescent="0.2">
      <c r="A197" s="22"/>
      <c r="B197" s="16"/>
      <c r="C197" s="23"/>
      <c r="D197" s="24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8.75" customHeight="1" x14ac:dyDescent="0.2">
      <c r="A198" s="22"/>
      <c r="B198" s="16"/>
      <c r="C198" s="23"/>
      <c r="D198" s="24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8.75" customHeight="1" x14ac:dyDescent="0.2">
      <c r="A199" s="22"/>
      <c r="B199" s="16"/>
      <c r="C199" s="23"/>
      <c r="D199" s="2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8.75" customHeight="1" x14ac:dyDescent="0.2">
      <c r="A200" s="22"/>
      <c r="B200" s="16"/>
      <c r="C200" s="23"/>
      <c r="D200" s="2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8.75" customHeight="1" x14ac:dyDescent="0.2">
      <c r="A201" s="22"/>
      <c r="B201" s="16"/>
      <c r="C201" s="23"/>
      <c r="D201" s="2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8.75" customHeight="1" x14ac:dyDescent="0.2">
      <c r="A202" s="22"/>
      <c r="B202" s="16"/>
      <c r="C202" s="23"/>
      <c r="D202" s="24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8.75" customHeight="1" x14ac:dyDescent="0.2">
      <c r="A203" s="22"/>
      <c r="B203" s="16"/>
      <c r="C203" s="23"/>
      <c r="D203" s="24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8.75" customHeight="1" x14ac:dyDescent="0.2">
      <c r="A204" s="22"/>
      <c r="B204" s="16"/>
      <c r="C204" s="23"/>
      <c r="D204" s="2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8.75" customHeight="1" x14ac:dyDescent="0.2">
      <c r="A205" s="22"/>
      <c r="B205" s="16"/>
      <c r="C205" s="23"/>
      <c r="D205" s="2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8.75" customHeight="1" x14ac:dyDescent="0.2">
      <c r="A206" s="22"/>
      <c r="B206" s="16"/>
      <c r="C206" s="23"/>
      <c r="D206" s="2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8.75" customHeight="1" x14ac:dyDescent="0.2">
      <c r="A207" s="22"/>
      <c r="B207" s="16"/>
      <c r="C207" s="23"/>
      <c r="D207" s="2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8.75" customHeight="1" x14ac:dyDescent="0.2">
      <c r="A208" s="22"/>
      <c r="B208" s="16"/>
      <c r="C208" s="23"/>
      <c r="D208" s="2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8.75" customHeight="1" x14ac:dyDescent="0.2">
      <c r="A209" s="22"/>
      <c r="B209" s="16"/>
      <c r="C209" s="23"/>
      <c r="D209" s="2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8.75" customHeight="1" x14ac:dyDescent="0.2">
      <c r="A210" s="22"/>
      <c r="B210" s="16"/>
      <c r="C210" s="23"/>
      <c r="D210" s="24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8.75" customHeight="1" x14ac:dyDescent="0.2">
      <c r="A211" s="22"/>
      <c r="B211" s="16"/>
      <c r="C211" s="23"/>
      <c r="D211" s="24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8.75" customHeight="1" x14ac:dyDescent="0.2">
      <c r="A212" s="22"/>
      <c r="B212" s="16"/>
      <c r="C212" s="23"/>
      <c r="D212" s="2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8.75" customHeight="1" x14ac:dyDescent="0.2">
      <c r="A213" s="22"/>
      <c r="B213" s="16"/>
      <c r="C213" s="23"/>
      <c r="D213" s="2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8.75" customHeight="1" x14ac:dyDescent="0.2">
      <c r="A214" s="22"/>
      <c r="B214" s="16"/>
      <c r="C214" s="23"/>
      <c r="D214" s="2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8.75" customHeight="1" x14ac:dyDescent="0.2">
      <c r="A215" s="22"/>
      <c r="B215" s="16"/>
      <c r="C215" s="23"/>
      <c r="D215" s="2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8.75" customHeight="1" x14ac:dyDescent="0.2">
      <c r="A216" s="22"/>
      <c r="B216" s="16"/>
      <c r="C216" s="23"/>
      <c r="D216" s="2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8.75" customHeight="1" x14ac:dyDescent="0.2">
      <c r="A217" s="22"/>
      <c r="B217" s="16"/>
      <c r="C217" s="23"/>
      <c r="D217" s="24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8.75" customHeight="1" x14ac:dyDescent="0.2">
      <c r="A218" s="22"/>
      <c r="B218" s="16"/>
      <c r="C218" s="23"/>
      <c r="D218" s="24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8.75" customHeight="1" x14ac:dyDescent="0.2">
      <c r="A219" s="22"/>
      <c r="B219" s="16"/>
      <c r="C219" s="23"/>
      <c r="D219" s="24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8.75" customHeight="1" x14ac:dyDescent="0.2">
      <c r="A220" s="22"/>
      <c r="B220" s="16"/>
      <c r="C220" s="23"/>
      <c r="D220" s="24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8.75" customHeight="1" x14ac:dyDescent="0.2">
      <c r="A221" s="22"/>
      <c r="B221" s="16"/>
      <c r="C221" s="23"/>
      <c r="D221" s="24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8.75" customHeight="1" x14ac:dyDescent="0.2">
      <c r="A222" s="22"/>
      <c r="B222" s="16"/>
      <c r="C222" s="23"/>
      <c r="D222" s="24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8.75" customHeight="1" x14ac:dyDescent="0.2">
      <c r="A223" s="22"/>
      <c r="B223" s="16"/>
      <c r="C223" s="23"/>
      <c r="D223" s="24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8.75" customHeight="1" x14ac:dyDescent="0.2">
      <c r="A224" s="22"/>
      <c r="B224" s="16"/>
      <c r="C224" s="23"/>
      <c r="D224" s="24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8.75" customHeight="1" x14ac:dyDescent="0.2">
      <c r="A225" s="22"/>
      <c r="B225" s="16"/>
      <c r="C225" s="23"/>
      <c r="D225" s="24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8.75" customHeight="1" x14ac:dyDescent="0.2">
      <c r="A226" s="22"/>
      <c r="B226" s="16"/>
      <c r="C226" s="23"/>
      <c r="D226" s="24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8.75" customHeight="1" x14ac:dyDescent="0.2">
      <c r="A227" s="22"/>
      <c r="B227" s="16"/>
      <c r="C227" s="23"/>
      <c r="D227" s="24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8.75" customHeight="1" x14ac:dyDescent="0.2">
      <c r="A228" s="22"/>
      <c r="B228" s="16"/>
      <c r="C228" s="23"/>
      <c r="D228" s="24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8.75" customHeight="1" x14ac:dyDescent="0.2">
      <c r="A229" s="22"/>
      <c r="B229" s="16"/>
      <c r="C229" s="23"/>
      <c r="D229" s="24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8.75" customHeight="1" x14ac:dyDescent="0.2">
      <c r="A230" s="22"/>
      <c r="B230" s="16"/>
      <c r="C230" s="23"/>
      <c r="D230" s="24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8.75" customHeight="1" x14ac:dyDescent="0.2">
      <c r="A231" s="22"/>
      <c r="B231" s="16"/>
      <c r="C231" s="23"/>
      <c r="D231" s="24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8.75" customHeight="1" x14ac:dyDescent="0.2">
      <c r="A232" s="22"/>
      <c r="B232" s="16"/>
      <c r="C232" s="23"/>
      <c r="D232" s="24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8.75" customHeight="1" x14ac:dyDescent="0.2">
      <c r="A233" s="22"/>
      <c r="B233" s="16"/>
      <c r="C233" s="23"/>
      <c r="D233" s="24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8.75" customHeight="1" x14ac:dyDescent="0.2">
      <c r="A234" s="22"/>
      <c r="B234" s="16"/>
      <c r="C234" s="23"/>
      <c r="D234" s="24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8.75" customHeight="1" x14ac:dyDescent="0.2">
      <c r="A235" s="22"/>
      <c r="B235" s="16"/>
      <c r="C235" s="23"/>
      <c r="D235" s="24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8.75" customHeight="1" x14ac:dyDescent="0.2">
      <c r="A236" s="22"/>
      <c r="B236" s="16"/>
      <c r="C236" s="23"/>
      <c r="D236" s="24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8.75" customHeight="1" x14ac:dyDescent="0.2">
      <c r="A237" s="22"/>
      <c r="B237" s="16"/>
      <c r="C237" s="23"/>
      <c r="D237" s="24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8.75" customHeight="1" x14ac:dyDescent="0.2">
      <c r="A238" s="22"/>
      <c r="B238" s="16"/>
      <c r="C238" s="23"/>
      <c r="D238" s="24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8.75" customHeight="1" x14ac:dyDescent="0.2">
      <c r="A239" s="22"/>
      <c r="B239" s="16"/>
      <c r="C239" s="23"/>
      <c r="D239" s="24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8.75" customHeight="1" x14ac:dyDescent="0.2">
      <c r="A240" s="22"/>
      <c r="B240" s="16"/>
      <c r="C240" s="23"/>
      <c r="D240" s="24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8.75" customHeight="1" x14ac:dyDescent="0.2">
      <c r="A241" s="22"/>
      <c r="B241" s="16"/>
      <c r="C241" s="23"/>
      <c r="D241" s="24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8.75" customHeight="1" x14ac:dyDescent="0.2">
      <c r="A242" s="22"/>
      <c r="B242" s="16"/>
      <c r="C242" s="23"/>
      <c r="D242" s="24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8.75" customHeight="1" x14ac:dyDescent="0.2">
      <c r="A243" s="22"/>
      <c r="B243" s="16"/>
      <c r="C243" s="23"/>
      <c r="D243" s="24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8.75" customHeight="1" x14ac:dyDescent="0.2">
      <c r="A244" s="22"/>
      <c r="B244" s="16"/>
      <c r="C244" s="23"/>
      <c r="D244" s="24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8.75" customHeight="1" x14ac:dyDescent="0.2">
      <c r="A245" s="22"/>
      <c r="B245" s="16"/>
      <c r="C245" s="23"/>
      <c r="D245" s="24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8.75" customHeight="1" x14ac:dyDescent="0.2">
      <c r="A246" s="22"/>
      <c r="B246" s="16"/>
      <c r="C246" s="23"/>
      <c r="D246" s="24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8.75" customHeight="1" x14ac:dyDescent="0.2">
      <c r="A247" s="22"/>
      <c r="B247" s="16"/>
      <c r="C247" s="23"/>
      <c r="D247" s="24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8.75" customHeight="1" x14ac:dyDescent="0.2">
      <c r="A248" s="22"/>
      <c r="B248" s="16"/>
      <c r="C248" s="23"/>
      <c r="D248" s="24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8.75" customHeight="1" x14ac:dyDescent="0.2">
      <c r="A249" s="22"/>
      <c r="B249" s="16"/>
      <c r="C249" s="23"/>
      <c r="D249" s="24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8.75" customHeight="1" x14ac:dyDescent="0.2">
      <c r="A250" s="22"/>
      <c r="B250" s="16"/>
      <c r="C250" s="23"/>
      <c r="D250" s="24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8.75" customHeight="1" x14ac:dyDescent="0.2">
      <c r="A251" s="22"/>
      <c r="B251" s="16"/>
      <c r="C251" s="23"/>
      <c r="D251" s="24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8.75" customHeight="1" x14ac:dyDescent="0.2">
      <c r="A252" s="22"/>
      <c r="B252" s="16"/>
      <c r="C252" s="23"/>
      <c r="D252" s="24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8.75" customHeight="1" x14ac:dyDescent="0.2">
      <c r="A253" s="22"/>
      <c r="B253" s="16"/>
      <c r="C253" s="23"/>
      <c r="D253" s="24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8.75" customHeight="1" x14ac:dyDescent="0.2">
      <c r="A254" s="22"/>
      <c r="B254" s="16"/>
      <c r="C254" s="23"/>
      <c r="D254" s="24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8.75" customHeight="1" x14ac:dyDescent="0.2">
      <c r="A255" s="22"/>
      <c r="B255" s="16"/>
      <c r="C255" s="23"/>
      <c r="D255" s="24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8.75" customHeight="1" x14ac:dyDescent="0.2">
      <c r="A256" s="22"/>
      <c r="B256" s="16"/>
      <c r="C256" s="23"/>
      <c r="D256" s="24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8.75" customHeight="1" x14ac:dyDescent="0.2">
      <c r="A257" s="22"/>
      <c r="B257" s="16"/>
      <c r="C257" s="23"/>
      <c r="D257" s="24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8.75" customHeight="1" x14ac:dyDescent="0.2">
      <c r="A258" s="22"/>
      <c r="B258" s="16"/>
      <c r="C258" s="23"/>
      <c r="D258" s="24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8.75" customHeight="1" x14ac:dyDescent="0.2">
      <c r="A259" s="22"/>
      <c r="B259" s="16"/>
      <c r="C259" s="23"/>
      <c r="D259" s="24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8.75" customHeight="1" x14ac:dyDescent="0.2">
      <c r="A260" s="22"/>
      <c r="B260" s="16"/>
      <c r="C260" s="23"/>
      <c r="D260" s="24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8.75" customHeight="1" x14ac:dyDescent="0.2">
      <c r="A261" s="22"/>
      <c r="B261" s="16"/>
      <c r="C261" s="23"/>
      <c r="D261" s="24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8.75" customHeight="1" x14ac:dyDescent="0.2">
      <c r="A262" s="22"/>
      <c r="B262" s="16"/>
      <c r="C262" s="23"/>
      <c r="D262" s="24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8.75" customHeight="1" x14ac:dyDescent="0.2">
      <c r="A263" s="22"/>
      <c r="B263" s="16"/>
      <c r="C263" s="23"/>
      <c r="D263" s="24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8.75" customHeight="1" x14ac:dyDescent="0.2">
      <c r="A264" s="22"/>
      <c r="B264" s="16"/>
      <c r="C264" s="23"/>
      <c r="D264" s="2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8.75" customHeight="1" x14ac:dyDescent="0.2">
      <c r="A265" s="22"/>
      <c r="B265" s="16"/>
      <c r="C265" s="23"/>
      <c r="D265" s="2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8.75" customHeight="1" x14ac:dyDescent="0.2">
      <c r="A266" s="22"/>
      <c r="B266" s="16"/>
      <c r="C266" s="23"/>
      <c r="D266" s="2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8.75" customHeight="1" x14ac:dyDescent="0.2">
      <c r="A267" s="22"/>
      <c r="B267" s="16"/>
      <c r="C267" s="23"/>
      <c r="D267" s="24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8.75" customHeight="1" x14ac:dyDescent="0.2">
      <c r="A268" s="22"/>
      <c r="B268" s="16"/>
      <c r="C268" s="23"/>
      <c r="D268" s="24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8.75" customHeight="1" x14ac:dyDescent="0.2">
      <c r="A269" s="22"/>
      <c r="B269" s="16"/>
      <c r="C269" s="23"/>
      <c r="D269" s="24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8.75" customHeight="1" x14ac:dyDescent="0.2">
      <c r="A270" s="22"/>
      <c r="B270" s="16"/>
      <c r="C270" s="23"/>
      <c r="D270" s="24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8.75" customHeight="1" x14ac:dyDescent="0.2">
      <c r="A271" s="22"/>
      <c r="B271" s="16"/>
      <c r="C271" s="23"/>
      <c r="D271" s="24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8.75" customHeight="1" x14ac:dyDescent="0.2">
      <c r="A272" s="22"/>
      <c r="B272" s="16"/>
      <c r="C272" s="23"/>
      <c r="D272" s="24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8.75" customHeight="1" x14ac:dyDescent="0.2">
      <c r="A273" s="22"/>
      <c r="B273" s="16"/>
      <c r="C273" s="23"/>
      <c r="D273" s="24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8.75" customHeight="1" x14ac:dyDescent="0.2">
      <c r="A274" s="22"/>
      <c r="B274" s="16"/>
      <c r="C274" s="23"/>
      <c r="D274" s="24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8.75" customHeight="1" x14ac:dyDescent="0.2">
      <c r="A275" s="22"/>
      <c r="B275" s="16"/>
      <c r="C275" s="23"/>
      <c r="D275" s="24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8.75" customHeight="1" x14ac:dyDescent="0.2">
      <c r="A276" s="22"/>
      <c r="B276" s="16"/>
      <c r="C276" s="23"/>
      <c r="D276" s="2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8.75" customHeight="1" x14ac:dyDescent="0.2">
      <c r="A277" s="22"/>
      <c r="B277" s="16"/>
      <c r="C277" s="23"/>
      <c r="D277" s="24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8.75" customHeight="1" x14ac:dyDescent="0.2">
      <c r="A278" s="22"/>
      <c r="B278" s="16"/>
      <c r="C278" s="23"/>
      <c r="D278" s="24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8.75" customHeight="1" x14ac:dyDescent="0.2">
      <c r="A279" s="22"/>
      <c r="B279" s="16"/>
      <c r="C279" s="23"/>
      <c r="D279" s="24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8.75" customHeight="1" x14ac:dyDescent="0.2">
      <c r="A280" s="22"/>
      <c r="B280" s="16"/>
      <c r="C280" s="23"/>
      <c r="D280" s="24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8.75" customHeight="1" x14ac:dyDescent="0.2">
      <c r="A281" s="22"/>
      <c r="B281" s="16"/>
      <c r="C281" s="23"/>
      <c r="D281" s="24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8.75" customHeight="1" x14ac:dyDescent="0.2">
      <c r="A282" s="22"/>
      <c r="B282" s="16"/>
      <c r="C282" s="23"/>
      <c r="D282" s="24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8.75" customHeight="1" x14ac:dyDescent="0.2">
      <c r="A283" s="22"/>
      <c r="B283" s="16"/>
      <c r="C283" s="23"/>
      <c r="D283" s="24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8.75" customHeight="1" x14ac:dyDescent="0.2">
      <c r="A284" s="22"/>
      <c r="B284" s="16"/>
      <c r="C284" s="23"/>
      <c r="D284" s="24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8.75" customHeight="1" x14ac:dyDescent="0.2">
      <c r="A285" s="22"/>
      <c r="B285" s="16"/>
      <c r="C285" s="23"/>
      <c r="D285" s="24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8.75" customHeight="1" x14ac:dyDescent="0.2">
      <c r="A286" s="22"/>
      <c r="B286" s="16"/>
      <c r="C286" s="23"/>
      <c r="D286" s="24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8.75" customHeight="1" x14ac:dyDescent="0.2">
      <c r="A287" s="22"/>
      <c r="B287" s="16"/>
      <c r="C287" s="23"/>
      <c r="D287" s="24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8.75" customHeight="1" x14ac:dyDescent="0.2">
      <c r="A288" s="22"/>
      <c r="B288" s="16"/>
      <c r="C288" s="23"/>
      <c r="D288" s="24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8.75" customHeight="1" x14ac:dyDescent="0.2">
      <c r="A289" s="22"/>
      <c r="B289" s="16"/>
      <c r="C289" s="23"/>
      <c r="D289" s="24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8.75" customHeight="1" x14ac:dyDescent="0.2">
      <c r="A290" s="22"/>
      <c r="B290" s="16"/>
      <c r="C290" s="23"/>
      <c r="D290" s="24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8.75" customHeight="1" x14ac:dyDescent="0.2">
      <c r="A291" s="22"/>
      <c r="B291" s="16"/>
      <c r="C291" s="23"/>
      <c r="D291" s="24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8.75" customHeight="1" x14ac:dyDescent="0.2">
      <c r="A292" s="22"/>
      <c r="B292" s="16"/>
      <c r="C292" s="23"/>
      <c r="D292" s="24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8.75" customHeight="1" x14ac:dyDescent="0.2">
      <c r="A293" s="22"/>
      <c r="B293" s="16"/>
      <c r="C293" s="23"/>
      <c r="D293" s="24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8.75" customHeight="1" x14ac:dyDescent="0.2">
      <c r="A294" s="22"/>
      <c r="B294" s="16"/>
      <c r="C294" s="23"/>
      <c r="D294" s="24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8.75" customHeight="1" x14ac:dyDescent="0.2">
      <c r="A295" s="22"/>
      <c r="B295" s="16"/>
      <c r="C295" s="23"/>
      <c r="D295" s="24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8.75" customHeight="1" x14ac:dyDescent="0.2">
      <c r="A296" s="22"/>
      <c r="B296" s="16"/>
      <c r="C296" s="23"/>
      <c r="D296" s="24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8.75" customHeight="1" x14ac:dyDescent="0.2">
      <c r="A297" s="22"/>
      <c r="B297" s="16"/>
      <c r="C297" s="23"/>
      <c r="D297" s="24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8.75" customHeight="1" x14ac:dyDescent="0.2">
      <c r="A298" s="22"/>
      <c r="B298" s="16"/>
      <c r="C298" s="23"/>
      <c r="D298" s="24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8.75" customHeight="1" x14ac:dyDescent="0.2">
      <c r="A299" s="22"/>
      <c r="B299" s="16"/>
      <c r="C299" s="23"/>
      <c r="D299" s="24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8.75" customHeight="1" x14ac:dyDescent="0.2">
      <c r="A300" s="22"/>
      <c r="B300" s="16"/>
      <c r="C300" s="23"/>
      <c r="D300" s="24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8.75" customHeight="1" x14ac:dyDescent="0.2">
      <c r="A301" s="22"/>
      <c r="B301" s="16"/>
      <c r="C301" s="23"/>
      <c r="D301" s="24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8.75" customHeight="1" x14ac:dyDescent="0.2">
      <c r="A302" s="22"/>
      <c r="B302" s="16"/>
      <c r="C302" s="23"/>
      <c r="D302" s="24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8.75" customHeight="1" x14ac:dyDescent="0.2">
      <c r="A303" s="22"/>
      <c r="B303" s="16"/>
      <c r="C303" s="23"/>
      <c r="D303" s="24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8.75" customHeight="1" x14ac:dyDescent="0.2">
      <c r="A304" s="22"/>
      <c r="B304" s="16"/>
      <c r="C304" s="23"/>
      <c r="D304" s="24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8.75" customHeight="1" x14ac:dyDescent="0.2">
      <c r="A305" s="22"/>
      <c r="B305" s="16"/>
      <c r="C305" s="23"/>
      <c r="D305" s="24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8.75" customHeight="1" x14ac:dyDescent="0.2">
      <c r="A306" s="22"/>
      <c r="B306" s="16"/>
      <c r="C306" s="23"/>
      <c r="D306" s="24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8.75" customHeight="1" x14ac:dyDescent="0.2">
      <c r="A307" s="22"/>
      <c r="B307" s="16"/>
      <c r="C307" s="23"/>
      <c r="D307" s="2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8.75" customHeight="1" x14ac:dyDescent="0.2">
      <c r="A308" s="22"/>
      <c r="B308" s="16"/>
      <c r="C308" s="23"/>
      <c r="D308" s="24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8.75" customHeight="1" x14ac:dyDescent="0.2">
      <c r="A309" s="22"/>
      <c r="B309" s="16"/>
      <c r="C309" s="23"/>
      <c r="D309" s="24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8.75" customHeight="1" x14ac:dyDescent="0.2">
      <c r="A310" s="22"/>
      <c r="B310" s="16"/>
      <c r="C310" s="23"/>
      <c r="D310" s="24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8.75" customHeight="1" x14ac:dyDescent="0.2">
      <c r="A311" s="22"/>
      <c r="B311" s="16"/>
      <c r="C311" s="23"/>
      <c r="D311" s="2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8.75" customHeight="1" x14ac:dyDescent="0.2">
      <c r="A312" s="22"/>
      <c r="B312" s="16"/>
      <c r="C312" s="23"/>
      <c r="D312" s="2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8.75" customHeight="1" x14ac:dyDescent="0.2">
      <c r="A313" s="22"/>
      <c r="B313" s="16"/>
      <c r="C313" s="23"/>
      <c r="D313" s="2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8.75" customHeight="1" x14ac:dyDescent="0.2">
      <c r="A314" s="22"/>
      <c r="B314" s="16"/>
      <c r="C314" s="23"/>
      <c r="D314" s="2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8.75" customHeight="1" x14ac:dyDescent="0.2">
      <c r="A315" s="22"/>
      <c r="B315" s="16"/>
      <c r="C315" s="23"/>
      <c r="D315" s="2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8.75" customHeight="1" x14ac:dyDescent="0.2">
      <c r="A316" s="22"/>
      <c r="B316" s="16"/>
      <c r="C316" s="23"/>
      <c r="D316" s="2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8.75" customHeight="1" x14ac:dyDescent="0.2">
      <c r="A317" s="22"/>
      <c r="B317" s="16"/>
      <c r="C317" s="23"/>
      <c r="D317" s="2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8.75" customHeight="1" x14ac:dyDescent="0.2">
      <c r="A318" s="22"/>
      <c r="B318" s="16"/>
      <c r="C318" s="23"/>
      <c r="D318" s="2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8.75" customHeight="1" x14ac:dyDescent="0.2">
      <c r="A319" s="22"/>
      <c r="B319" s="16"/>
      <c r="C319" s="23"/>
      <c r="D319" s="2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8.75" customHeight="1" x14ac:dyDescent="0.2">
      <c r="A320" s="22"/>
      <c r="B320" s="16"/>
      <c r="C320" s="23"/>
      <c r="D320" s="2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8.75" customHeight="1" x14ac:dyDescent="0.2">
      <c r="A321" s="22"/>
      <c r="B321" s="16"/>
      <c r="C321" s="23"/>
      <c r="D321" s="2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8.75" customHeight="1" x14ac:dyDescent="0.2">
      <c r="A322" s="22"/>
      <c r="B322" s="16"/>
      <c r="C322" s="23"/>
      <c r="D322" s="2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8.75" customHeight="1" x14ac:dyDescent="0.2">
      <c r="A323" s="22"/>
      <c r="B323" s="16"/>
      <c r="C323" s="23"/>
      <c r="D323" s="2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8.75" customHeight="1" x14ac:dyDescent="0.2">
      <c r="A324" s="22"/>
      <c r="B324" s="16"/>
      <c r="C324" s="23"/>
      <c r="D324" s="2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8.75" customHeight="1" x14ac:dyDescent="0.2">
      <c r="A325" s="22"/>
      <c r="B325" s="16"/>
      <c r="C325" s="23"/>
      <c r="D325" s="2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8.75" customHeight="1" x14ac:dyDescent="0.2">
      <c r="A326" s="22"/>
      <c r="B326" s="16"/>
      <c r="C326" s="23"/>
      <c r="D326" s="2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8.75" customHeight="1" x14ac:dyDescent="0.2">
      <c r="A327" s="22"/>
      <c r="B327" s="16"/>
      <c r="C327" s="23"/>
      <c r="D327" s="2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8.75" customHeight="1" x14ac:dyDescent="0.2">
      <c r="A328" s="22"/>
      <c r="B328" s="16"/>
      <c r="C328" s="23"/>
      <c r="D328" s="2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8.75" customHeight="1" x14ac:dyDescent="0.2">
      <c r="A329" s="22"/>
      <c r="B329" s="16"/>
      <c r="C329" s="23"/>
      <c r="D329" s="2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8.75" customHeight="1" x14ac:dyDescent="0.2">
      <c r="A330" s="22"/>
      <c r="B330" s="16"/>
      <c r="C330" s="23"/>
      <c r="D330" s="2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8.75" customHeight="1" x14ac:dyDescent="0.2">
      <c r="A331" s="22"/>
      <c r="B331" s="16"/>
      <c r="C331" s="23"/>
      <c r="D331" s="2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8.75" customHeight="1" x14ac:dyDescent="0.2">
      <c r="A332" s="22"/>
      <c r="B332" s="16"/>
      <c r="C332" s="23"/>
      <c r="D332" s="2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8.75" customHeight="1" x14ac:dyDescent="0.2">
      <c r="A333" s="22"/>
      <c r="B333" s="16"/>
      <c r="C333" s="23"/>
      <c r="D333" s="2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8.75" customHeight="1" x14ac:dyDescent="0.2">
      <c r="A334" s="22"/>
      <c r="B334" s="16"/>
      <c r="C334" s="23"/>
      <c r="D334" s="2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8.75" customHeight="1" x14ac:dyDescent="0.2">
      <c r="A335" s="22"/>
      <c r="B335" s="16"/>
      <c r="C335" s="23"/>
      <c r="D335" s="2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8.75" customHeight="1" x14ac:dyDescent="0.2">
      <c r="A336" s="22"/>
      <c r="B336" s="16"/>
      <c r="C336" s="23"/>
      <c r="D336" s="2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8.75" customHeight="1" x14ac:dyDescent="0.2">
      <c r="A337" s="22"/>
      <c r="B337" s="16"/>
      <c r="C337" s="23"/>
      <c r="D337" s="2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8.75" customHeight="1" x14ac:dyDescent="0.2">
      <c r="A338" s="22"/>
      <c r="B338" s="16"/>
      <c r="C338" s="23"/>
      <c r="D338" s="2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8.75" customHeight="1" x14ac:dyDescent="0.2">
      <c r="A339" s="22"/>
      <c r="B339" s="16"/>
      <c r="C339" s="23"/>
      <c r="D339" s="2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8.75" customHeight="1" x14ac:dyDescent="0.2">
      <c r="A340" s="22"/>
      <c r="B340" s="16"/>
      <c r="C340" s="23"/>
      <c r="D340" s="2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8.75" customHeight="1" x14ac:dyDescent="0.2">
      <c r="A341" s="22"/>
      <c r="B341" s="16"/>
      <c r="C341" s="23"/>
      <c r="D341" s="2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8.75" customHeight="1" x14ac:dyDescent="0.2">
      <c r="A342" s="22"/>
      <c r="B342" s="16"/>
      <c r="C342" s="23"/>
      <c r="D342" s="2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8.75" customHeight="1" x14ac:dyDescent="0.2">
      <c r="A343" s="22"/>
      <c r="B343" s="16"/>
      <c r="C343" s="23"/>
      <c r="D343" s="2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8.75" customHeight="1" x14ac:dyDescent="0.2">
      <c r="A344" s="22"/>
      <c r="B344" s="16"/>
      <c r="C344" s="23"/>
      <c r="D344" s="2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8.75" customHeight="1" x14ac:dyDescent="0.2">
      <c r="A345" s="22"/>
      <c r="B345" s="16"/>
      <c r="C345" s="23"/>
      <c r="D345" s="2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8.75" customHeight="1" x14ac:dyDescent="0.2">
      <c r="A346" s="22"/>
      <c r="B346" s="16"/>
      <c r="C346" s="23"/>
      <c r="D346" s="2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8.75" customHeight="1" x14ac:dyDescent="0.2">
      <c r="A347" s="22"/>
      <c r="B347" s="16"/>
      <c r="C347" s="23"/>
      <c r="D347" s="2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8.75" customHeight="1" x14ac:dyDescent="0.2">
      <c r="A348" s="22"/>
      <c r="B348" s="16"/>
      <c r="C348" s="23"/>
      <c r="D348" s="2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8.75" customHeight="1" x14ac:dyDescent="0.2">
      <c r="A349" s="22"/>
      <c r="B349" s="16"/>
      <c r="C349" s="23"/>
      <c r="D349" s="2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8.75" customHeight="1" x14ac:dyDescent="0.2">
      <c r="A350" s="22"/>
      <c r="B350" s="16"/>
      <c r="C350" s="23"/>
      <c r="D350" s="2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8.75" customHeight="1" x14ac:dyDescent="0.2">
      <c r="A351" s="22"/>
      <c r="B351" s="16"/>
      <c r="C351" s="23"/>
      <c r="D351" s="2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8.75" customHeight="1" x14ac:dyDescent="0.2">
      <c r="A352" s="22"/>
      <c r="B352" s="16"/>
      <c r="C352" s="23"/>
      <c r="D352" s="2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8.75" customHeight="1" x14ac:dyDescent="0.2">
      <c r="A353" s="22"/>
      <c r="B353" s="16"/>
      <c r="C353" s="23"/>
      <c r="D353" s="2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8.75" customHeight="1" x14ac:dyDescent="0.2">
      <c r="A354" s="22"/>
      <c r="B354" s="16"/>
      <c r="C354" s="23"/>
      <c r="D354" s="2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8.75" customHeight="1" x14ac:dyDescent="0.2">
      <c r="A355" s="22"/>
      <c r="B355" s="16"/>
      <c r="C355" s="23"/>
      <c r="D355" s="2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8.75" customHeight="1" x14ac:dyDescent="0.2">
      <c r="A356" s="22"/>
      <c r="B356" s="16"/>
      <c r="C356" s="23"/>
      <c r="D356" s="2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8.75" customHeight="1" x14ac:dyDescent="0.2">
      <c r="A357" s="22"/>
      <c r="B357" s="16"/>
      <c r="C357" s="23"/>
      <c r="D357" s="2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8.75" customHeight="1" x14ac:dyDescent="0.2">
      <c r="A358" s="22"/>
      <c r="B358" s="16"/>
      <c r="C358" s="23"/>
      <c r="D358" s="2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8.75" customHeight="1" x14ac:dyDescent="0.2">
      <c r="A359" s="22"/>
      <c r="B359" s="16"/>
      <c r="C359" s="23"/>
      <c r="D359" s="2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8.75" customHeight="1" x14ac:dyDescent="0.2">
      <c r="A360" s="22"/>
      <c r="B360" s="16"/>
      <c r="C360" s="23"/>
      <c r="D360" s="2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8.75" customHeight="1" x14ac:dyDescent="0.2">
      <c r="A361" s="22"/>
      <c r="B361" s="16"/>
      <c r="C361" s="23"/>
      <c r="D361" s="2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8.75" customHeight="1" x14ac:dyDescent="0.2">
      <c r="A362" s="22"/>
      <c r="B362" s="16"/>
      <c r="C362" s="23"/>
      <c r="D362" s="2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8.75" customHeight="1" x14ac:dyDescent="0.2">
      <c r="A363" s="22"/>
      <c r="B363" s="16"/>
      <c r="C363" s="23"/>
      <c r="D363" s="2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8.75" customHeight="1" x14ac:dyDescent="0.2">
      <c r="A364" s="22"/>
      <c r="B364" s="16"/>
      <c r="C364" s="23"/>
      <c r="D364" s="2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8.75" customHeight="1" x14ac:dyDescent="0.2">
      <c r="A365" s="22"/>
      <c r="B365" s="16"/>
      <c r="C365" s="23"/>
      <c r="D365" s="2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8.75" customHeight="1" x14ac:dyDescent="0.2">
      <c r="A366" s="22"/>
      <c r="B366" s="16"/>
      <c r="C366" s="23"/>
      <c r="D366" s="2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8.75" customHeight="1" x14ac:dyDescent="0.2">
      <c r="A367" s="22"/>
      <c r="B367" s="16"/>
      <c r="C367" s="23"/>
      <c r="D367" s="2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8.75" customHeight="1" x14ac:dyDescent="0.2">
      <c r="A368" s="22"/>
      <c r="B368" s="16"/>
      <c r="C368" s="23"/>
      <c r="D368" s="2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8.75" customHeight="1" x14ac:dyDescent="0.2">
      <c r="A369" s="22"/>
      <c r="B369" s="16"/>
      <c r="C369" s="23"/>
      <c r="D369" s="2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8.75" customHeight="1" x14ac:dyDescent="0.2">
      <c r="A370" s="22"/>
      <c r="B370" s="16"/>
      <c r="C370" s="23"/>
      <c r="D370" s="2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8.75" customHeight="1" x14ac:dyDescent="0.2">
      <c r="A371" s="22"/>
      <c r="B371" s="16"/>
      <c r="C371" s="23"/>
      <c r="D371" s="2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8.75" customHeight="1" x14ac:dyDescent="0.2">
      <c r="A372" s="22"/>
      <c r="B372" s="16"/>
      <c r="C372" s="23"/>
      <c r="D372" s="2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8.75" customHeight="1" x14ac:dyDescent="0.2">
      <c r="A373" s="22"/>
      <c r="B373" s="16"/>
      <c r="C373" s="23"/>
      <c r="D373" s="2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8.75" customHeight="1" x14ac:dyDescent="0.2">
      <c r="A374" s="22"/>
      <c r="B374" s="16"/>
      <c r="C374" s="23"/>
      <c r="D374" s="2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8.75" customHeight="1" x14ac:dyDescent="0.2">
      <c r="A375" s="22"/>
      <c r="B375" s="16"/>
      <c r="C375" s="23"/>
      <c r="D375" s="2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8.75" customHeight="1" x14ac:dyDescent="0.2">
      <c r="A376" s="22"/>
      <c r="B376" s="16"/>
      <c r="C376" s="23"/>
      <c r="D376" s="2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8.75" customHeight="1" x14ac:dyDescent="0.2">
      <c r="A377" s="22"/>
      <c r="B377" s="16"/>
      <c r="C377" s="23"/>
      <c r="D377" s="2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8.75" customHeight="1" x14ac:dyDescent="0.2">
      <c r="A378" s="22"/>
      <c r="B378" s="16"/>
      <c r="C378" s="23"/>
      <c r="D378" s="2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8.75" customHeight="1" x14ac:dyDescent="0.2">
      <c r="A379" s="22"/>
      <c r="B379" s="16"/>
      <c r="C379" s="23"/>
      <c r="D379" s="2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8.75" customHeight="1" x14ac:dyDescent="0.2">
      <c r="A380" s="22"/>
      <c r="B380" s="16"/>
      <c r="C380" s="23"/>
      <c r="D380" s="2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8.75" customHeight="1" x14ac:dyDescent="0.2">
      <c r="A381" s="22"/>
      <c r="B381" s="16"/>
      <c r="C381" s="23"/>
      <c r="D381" s="2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8.75" customHeight="1" x14ac:dyDescent="0.2">
      <c r="A382" s="22"/>
      <c r="B382" s="16"/>
      <c r="C382" s="23"/>
      <c r="D382" s="2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8.75" customHeight="1" x14ac:dyDescent="0.2">
      <c r="A383" s="22"/>
      <c r="B383" s="16"/>
      <c r="C383" s="23"/>
      <c r="D383" s="2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8.75" customHeight="1" x14ac:dyDescent="0.2">
      <c r="A384" s="22"/>
      <c r="B384" s="16"/>
      <c r="C384" s="23"/>
      <c r="D384" s="2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8.75" customHeight="1" x14ac:dyDescent="0.2">
      <c r="A385" s="22"/>
      <c r="B385" s="16"/>
      <c r="C385" s="23"/>
      <c r="D385" s="2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8.75" customHeight="1" x14ac:dyDescent="0.2">
      <c r="A386" s="22"/>
      <c r="B386" s="16"/>
      <c r="C386" s="23"/>
      <c r="D386" s="2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8.75" customHeight="1" x14ac:dyDescent="0.2">
      <c r="A387" s="22"/>
      <c r="B387" s="16"/>
      <c r="C387" s="23"/>
      <c r="D387" s="2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8.75" customHeight="1" x14ac:dyDescent="0.2">
      <c r="A388" s="22"/>
      <c r="B388" s="16"/>
      <c r="C388" s="23"/>
      <c r="D388" s="2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8.75" customHeight="1" x14ac:dyDescent="0.2">
      <c r="A389" s="22"/>
      <c r="B389" s="16"/>
      <c r="C389" s="23"/>
      <c r="D389" s="2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8.75" customHeight="1" x14ac:dyDescent="0.2">
      <c r="A390" s="22"/>
      <c r="B390" s="16"/>
      <c r="C390" s="23"/>
      <c r="D390" s="2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8.75" customHeight="1" x14ac:dyDescent="0.2">
      <c r="A391" s="22"/>
      <c r="B391" s="16"/>
      <c r="C391" s="23"/>
      <c r="D391" s="2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8.75" customHeight="1" x14ac:dyDescent="0.2">
      <c r="A392" s="22"/>
      <c r="B392" s="16"/>
      <c r="C392" s="23"/>
      <c r="D392" s="2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8.75" customHeight="1" x14ac:dyDescent="0.2">
      <c r="A393" s="22"/>
      <c r="B393" s="16"/>
      <c r="C393" s="23"/>
      <c r="D393" s="2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8.75" customHeight="1" x14ac:dyDescent="0.2">
      <c r="A394" s="22"/>
      <c r="B394" s="16"/>
      <c r="C394" s="23"/>
      <c r="D394" s="2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8.75" customHeight="1" x14ac:dyDescent="0.2">
      <c r="A395" s="22"/>
      <c r="B395" s="16"/>
      <c r="C395" s="23"/>
      <c r="D395" s="2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8.75" customHeight="1" x14ac:dyDescent="0.2">
      <c r="A396" s="22"/>
      <c r="B396" s="16"/>
      <c r="C396" s="23"/>
      <c r="D396" s="2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8.75" customHeight="1" x14ac:dyDescent="0.2">
      <c r="A397" s="22"/>
      <c r="B397" s="16"/>
      <c r="C397" s="23"/>
      <c r="D397" s="2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8.75" customHeight="1" x14ac:dyDescent="0.2">
      <c r="A398" s="22"/>
      <c r="B398" s="16"/>
      <c r="C398" s="23"/>
      <c r="D398" s="2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8.75" customHeight="1" x14ac:dyDescent="0.2">
      <c r="A399" s="22"/>
      <c r="B399" s="16"/>
      <c r="C399" s="23"/>
      <c r="D399" s="2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8.75" customHeight="1" x14ac:dyDescent="0.2">
      <c r="A400" s="22"/>
      <c r="B400" s="16"/>
      <c r="C400" s="23"/>
      <c r="D400" s="2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8.75" customHeight="1" x14ac:dyDescent="0.2">
      <c r="A401" s="22"/>
      <c r="B401" s="16"/>
      <c r="C401" s="23"/>
      <c r="D401" s="24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8.75" customHeight="1" x14ac:dyDescent="0.2">
      <c r="A402" s="22"/>
      <c r="B402" s="16"/>
      <c r="C402" s="23"/>
      <c r="D402" s="24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8.75" customHeight="1" x14ac:dyDescent="0.2">
      <c r="A403" s="22"/>
      <c r="B403" s="16"/>
      <c r="C403" s="23"/>
      <c r="D403" s="2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8.75" customHeight="1" x14ac:dyDescent="0.2">
      <c r="A404" s="22"/>
      <c r="B404" s="16"/>
      <c r="C404" s="23"/>
      <c r="D404" s="24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8.75" customHeight="1" x14ac:dyDescent="0.2">
      <c r="A405" s="22"/>
      <c r="B405" s="16"/>
      <c r="C405" s="23"/>
      <c r="D405" s="24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8.75" customHeight="1" x14ac:dyDescent="0.2">
      <c r="A406" s="22"/>
      <c r="B406" s="16"/>
      <c r="C406" s="23"/>
      <c r="D406" s="2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8.75" customHeight="1" x14ac:dyDescent="0.2">
      <c r="A407" s="22"/>
      <c r="B407" s="16"/>
      <c r="C407" s="23"/>
      <c r="D407" s="24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8.75" customHeight="1" x14ac:dyDescent="0.2">
      <c r="A408" s="22"/>
      <c r="B408" s="16"/>
      <c r="C408" s="23"/>
      <c r="D408" s="24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8.75" customHeight="1" x14ac:dyDescent="0.2">
      <c r="A409" s="22"/>
      <c r="B409" s="16"/>
      <c r="C409" s="23"/>
      <c r="D409" s="24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8.75" customHeight="1" x14ac:dyDescent="0.2">
      <c r="A410" s="22"/>
      <c r="B410" s="16"/>
      <c r="C410" s="23"/>
      <c r="D410" s="24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8.75" customHeight="1" x14ac:dyDescent="0.2">
      <c r="A411" s="22"/>
      <c r="B411" s="16"/>
      <c r="C411" s="23"/>
      <c r="D411" s="24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8.75" customHeight="1" x14ac:dyDescent="0.2">
      <c r="A412" s="22"/>
      <c r="B412" s="16"/>
      <c r="C412" s="23"/>
      <c r="D412" s="24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8.75" customHeight="1" x14ac:dyDescent="0.2">
      <c r="A413" s="22"/>
      <c r="B413" s="16"/>
      <c r="C413" s="23"/>
      <c r="D413" s="24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8.75" customHeight="1" x14ac:dyDescent="0.2">
      <c r="A414" s="22"/>
      <c r="B414" s="16"/>
      <c r="C414" s="23"/>
      <c r="D414" s="24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8.75" customHeight="1" x14ac:dyDescent="0.2">
      <c r="A415" s="22"/>
      <c r="B415" s="16"/>
      <c r="C415" s="23"/>
      <c r="D415" s="24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8.75" customHeight="1" x14ac:dyDescent="0.2">
      <c r="A416" s="22"/>
      <c r="B416" s="16"/>
      <c r="C416" s="23"/>
      <c r="D416" s="24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8.75" customHeight="1" x14ac:dyDescent="0.2">
      <c r="A417" s="22"/>
      <c r="B417" s="16"/>
      <c r="C417" s="23"/>
      <c r="D417" s="24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8.75" customHeight="1" x14ac:dyDescent="0.2">
      <c r="A418" s="22"/>
      <c r="B418" s="16"/>
      <c r="C418" s="23"/>
      <c r="D418" s="24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8.75" customHeight="1" x14ac:dyDescent="0.2">
      <c r="A419" s="22"/>
      <c r="B419" s="16"/>
      <c r="C419" s="23"/>
      <c r="D419" s="24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8.75" customHeight="1" x14ac:dyDescent="0.2">
      <c r="A420" s="22"/>
      <c r="B420" s="16"/>
      <c r="C420" s="23"/>
      <c r="D420" s="24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8.75" customHeight="1" x14ac:dyDescent="0.2">
      <c r="A421" s="22"/>
      <c r="B421" s="16"/>
      <c r="C421" s="23"/>
      <c r="D421" s="24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8.75" customHeight="1" x14ac:dyDescent="0.2">
      <c r="A422" s="22"/>
      <c r="B422" s="16"/>
      <c r="C422" s="23"/>
      <c r="D422" s="24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8.75" customHeight="1" x14ac:dyDescent="0.2">
      <c r="A423" s="22"/>
      <c r="B423" s="16"/>
      <c r="C423" s="23"/>
      <c r="D423" s="2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8.75" customHeight="1" x14ac:dyDescent="0.2">
      <c r="A424" s="22"/>
      <c r="B424" s="16"/>
      <c r="C424" s="23"/>
      <c r="D424" s="2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8.75" customHeight="1" x14ac:dyDescent="0.2">
      <c r="A425" s="22"/>
      <c r="B425" s="16"/>
      <c r="C425" s="23"/>
      <c r="D425" s="2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8.75" customHeight="1" x14ac:dyDescent="0.2">
      <c r="A426" s="22"/>
      <c r="B426" s="16"/>
      <c r="C426" s="23"/>
      <c r="D426" s="24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8.75" customHeight="1" x14ac:dyDescent="0.2">
      <c r="A427" s="22"/>
      <c r="B427" s="16"/>
      <c r="C427" s="23"/>
      <c r="D427" s="24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8.75" customHeight="1" x14ac:dyDescent="0.2">
      <c r="A428" s="22"/>
      <c r="B428" s="16"/>
      <c r="C428" s="23"/>
      <c r="D428" s="24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8.75" customHeight="1" x14ac:dyDescent="0.2">
      <c r="A429" s="22"/>
      <c r="B429" s="16"/>
      <c r="C429" s="23"/>
      <c r="D429" s="24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8.75" customHeight="1" x14ac:dyDescent="0.2">
      <c r="A430" s="22"/>
      <c r="B430" s="16"/>
      <c r="C430" s="23"/>
      <c r="D430" s="24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8.75" customHeight="1" x14ac:dyDescent="0.2">
      <c r="A431" s="22"/>
      <c r="B431" s="16"/>
      <c r="C431" s="23"/>
      <c r="D431" s="24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8.75" customHeight="1" x14ac:dyDescent="0.2">
      <c r="A432" s="22"/>
      <c r="B432" s="16"/>
      <c r="C432" s="23"/>
      <c r="D432" s="24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8.75" customHeight="1" x14ac:dyDescent="0.2">
      <c r="A433" s="22"/>
      <c r="B433" s="16"/>
      <c r="C433" s="23"/>
      <c r="D433" s="24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8.75" customHeight="1" x14ac:dyDescent="0.2">
      <c r="A434" s="22"/>
      <c r="B434" s="16"/>
      <c r="C434" s="23"/>
      <c r="D434" s="24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8.75" customHeight="1" x14ac:dyDescent="0.2">
      <c r="A435" s="22"/>
      <c r="B435" s="16"/>
      <c r="C435" s="23"/>
      <c r="D435" s="24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8.75" customHeight="1" x14ac:dyDescent="0.2">
      <c r="A436" s="22"/>
      <c r="B436" s="16"/>
      <c r="C436" s="23"/>
      <c r="D436" s="24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8.75" customHeight="1" x14ac:dyDescent="0.2">
      <c r="A437" s="22"/>
      <c r="B437" s="16"/>
      <c r="C437" s="23"/>
      <c r="D437" s="24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8.75" customHeight="1" x14ac:dyDescent="0.2">
      <c r="A438" s="22"/>
      <c r="B438" s="16"/>
      <c r="C438" s="23"/>
      <c r="D438" s="24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8.75" customHeight="1" x14ac:dyDescent="0.2">
      <c r="A439" s="22"/>
      <c r="B439" s="16"/>
      <c r="C439" s="23"/>
      <c r="D439" s="2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8.75" customHeight="1" x14ac:dyDescent="0.2">
      <c r="A440" s="22"/>
      <c r="B440" s="16"/>
      <c r="C440" s="23"/>
      <c r="D440" s="24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8.75" customHeight="1" x14ac:dyDescent="0.2">
      <c r="A441" s="22"/>
      <c r="B441" s="16"/>
      <c r="C441" s="23"/>
      <c r="D441" s="24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8.75" customHeight="1" x14ac:dyDescent="0.2">
      <c r="A442" s="22"/>
      <c r="B442" s="16"/>
      <c r="C442" s="23"/>
      <c r="D442" s="24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8.75" customHeight="1" x14ac:dyDescent="0.2">
      <c r="A443" s="22"/>
      <c r="B443" s="16"/>
      <c r="C443" s="23"/>
      <c r="D443" s="24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8.75" customHeight="1" x14ac:dyDescent="0.2">
      <c r="A444" s="22"/>
      <c r="B444" s="16"/>
      <c r="C444" s="23"/>
      <c r="D444" s="24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8.75" customHeight="1" x14ac:dyDescent="0.2">
      <c r="A445" s="22"/>
      <c r="B445" s="16"/>
      <c r="C445" s="23"/>
      <c r="D445" s="24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8.75" customHeight="1" x14ac:dyDescent="0.2">
      <c r="A446" s="22"/>
      <c r="B446" s="16"/>
      <c r="C446" s="23"/>
      <c r="D446" s="24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8.75" customHeight="1" x14ac:dyDescent="0.2">
      <c r="A447" s="22"/>
      <c r="B447" s="16"/>
      <c r="C447" s="23"/>
      <c r="D447" s="24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8.75" customHeight="1" x14ac:dyDescent="0.2">
      <c r="A448" s="22"/>
      <c r="B448" s="16"/>
      <c r="C448" s="23"/>
      <c r="D448" s="2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8.75" customHeight="1" x14ac:dyDescent="0.2">
      <c r="A449" s="22"/>
      <c r="B449" s="16"/>
      <c r="C449" s="23"/>
      <c r="D449" s="24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8.75" customHeight="1" x14ac:dyDescent="0.2">
      <c r="A450" s="22"/>
      <c r="B450" s="16"/>
      <c r="C450" s="23"/>
      <c r="D450" s="24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8.75" customHeight="1" x14ac:dyDescent="0.2">
      <c r="A451" s="22"/>
      <c r="B451" s="16"/>
      <c r="C451" s="23"/>
      <c r="D451" s="24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8.75" customHeight="1" x14ac:dyDescent="0.2">
      <c r="A452" s="22"/>
      <c r="B452" s="16"/>
      <c r="C452" s="23"/>
      <c r="D452" s="24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8.75" customHeight="1" x14ac:dyDescent="0.2">
      <c r="A453" s="22"/>
      <c r="B453" s="16"/>
      <c r="C453" s="23"/>
      <c r="D453" s="24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8.75" customHeight="1" x14ac:dyDescent="0.2">
      <c r="A454" s="22"/>
      <c r="B454" s="16"/>
      <c r="C454" s="23"/>
      <c r="D454" s="24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8.75" customHeight="1" x14ac:dyDescent="0.2">
      <c r="A455" s="22"/>
      <c r="B455" s="16"/>
      <c r="C455" s="23"/>
      <c r="D455" s="24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8.75" customHeight="1" x14ac:dyDescent="0.2">
      <c r="A456" s="22"/>
      <c r="B456" s="16"/>
      <c r="C456" s="23"/>
      <c r="D456" s="24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8.75" customHeight="1" x14ac:dyDescent="0.2">
      <c r="A457" s="22"/>
      <c r="B457" s="16"/>
      <c r="C457" s="23"/>
      <c r="D457" s="24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8.75" customHeight="1" x14ac:dyDescent="0.2">
      <c r="A458" s="22"/>
      <c r="B458" s="16"/>
      <c r="C458" s="23"/>
      <c r="D458" s="24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8.75" customHeight="1" x14ac:dyDescent="0.2">
      <c r="A459" s="22"/>
      <c r="B459" s="16"/>
      <c r="C459" s="23"/>
      <c r="D459" s="24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8.75" customHeight="1" x14ac:dyDescent="0.2">
      <c r="A460" s="22"/>
      <c r="B460" s="16"/>
      <c r="C460" s="23"/>
      <c r="D460" s="24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8.75" customHeight="1" x14ac:dyDescent="0.2">
      <c r="A461" s="22"/>
      <c r="B461" s="16"/>
      <c r="C461" s="23"/>
      <c r="D461" s="24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8.75" customHeight="1" x14ac:dyDescent="0.2">
      <c r="A462" s="22"/>
      <c r="B462" s="16"/>
      <c r="C462" s="23"/>
      <c r="D462" s="24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8.75" customHeight="1" x14ac:dyDescent="0.2">
      <c r="A463" s="22"/>
      <c r="B463" s="16"/>
      <c r="C463" s="23"/>
      <c r="D463" s="24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8.75" customHeight="1" x14ac:dyDescent="0.2">
      <c r="A464" s="22"/>
      <c r="B464" s="16"/>
      <c r="C464" s="23"/>
      <c r="D464" s="24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8.75" customHeight="1" x14ac:dyDescent="0.2">
      <c r="A465" s="22"/>
      <c r="B465" s="16"/>
      <c r="C465" s="23"/>
      <c r="D465" s="24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8.75" customHeight="1" x14ac:dyDescent="0.2">
      <c r="A466" s="22"/>
      <c r="B466" s="16"/>
      <c r="C466" s="23"/>
      <c r="D466" s="24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8.75" customHeight="1" x14ac:dyDescent="0.2">
      <c r="A467" s="22"/>
      <c r="B467" s="16"/>
      <c r="C467" s="23"/>
      <c r="D467" s="24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8.75" customHeight="1" x14ac:dyDescent="0.2">
      <c r="A468" s="22"/>
      <c r="B468" s="16"/>
      <c r="C468" s="23"/>
      <c r="D468" s="24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8.75" customHeight="1" x14ac:dyDescent="0.2">
      <c r="A469" s="22"/>
      <c r="B469" s="16"/>
      <c r="C469" s="23"/>
      <c r="D469" s="24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8.75" customHeight="1" x14ac:dyDescent="0.2">
      <c r="A470" s="22"/>
      <c r="B470" s="16"/>
      <c r="C470" s="23"/>
      <c r="D470" s="24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8.75" customHeight="1" x14ac:dyDescent="0.2">
      <c r="A471" s="22"/>
      <c r="B471" s="16"/>
      <c r="C471" s="23"/>
      <c r="D471" s="24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8.75" customHeight="1" x14ac:dyDescent="0.2">
      <c r="A472" s="22"/>
      <c r="B472" s="16"/>
      <c r="C472" s="23"/>
      <c r="D472" s="24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8.75" customHeight="1" x14ac:dyDescent="0.2">
      <c r="A473" s="22"/>
      <c r="B473" s="16"/>
      <c r="C473" s="23"/>
      <c r="D473" s="24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8.75" customHeight="1" x14ac:dyDescent="0.2">
      <c r="A474" s="22"/>
      <c r="B474" s="16"/>
      <c r="C474" s="23"/>
      <c r="D474" s="24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8.75" customHeight="1" x14ac:dyDescent="0.2">
      <c r="A475" s="22"/>
      <c r="B475" s="16"/>
      <c r="C475" s="23"/>
      <c r="D475" s="24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8.75" customHeight="1" x14ac:dyDescent="0.2">
      <c r="A476" s="22"/>
      <c r="B476" s="16"/>
      <c r="C476" s="23"/>
      <c r="D476" s="24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8.75" customHeight="1" x14ac:dyDescent="0.2">
      <c r="A477" s="22"/>
      <c r="B477" s="16"/>
      <c r="C477" s="23"/>
      <c r="D477" s="2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8.75" customHeight="1" x14ac:dyDescent="0.2">
      <c r="A478" s="22"/>
      <c r="B478" s="16"/>
      <c r="C478" s="23"/>
      <c r="D478" s="2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8.75" customHeight="1" x14ac:dyDescent="0.2">
      <c r="A479" s="22"/>
      <c r="B479" s="16"/>
      <c r="C479" s="23"/>
      <c r="D479" s="2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8.75" customHeight="1" x14ac:dyDescent="0.2">
      <c r="A480" s="22"/>
      <c r="B480" s="16"/>
      <c r="C480" s="23"/>
      <c r="D480" s="24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8.75" customHeight="1" x14ac:dyDescent="0.2">
      <c r="A481" s="22"/>
      <c r="B481" s="16"/>
      <c r="C481" s="23"/>
      <c r="D481" s="24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8.75" customHeight="1" x14ac:dyDescent="0.2">
      <c r="A482" s="22"/>
      <c r="B482" s="16"/>
      <c r="C482" s="23"/>
      <c r="D482" s="24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8.75" customHeight="1" x14ac:dyDescent="0.2">
      <c r="A483" s="22"/>
      <c r="B483" s="16"/>
      <c r="C483" s="23"/>
      <c r="D483" s="24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8.75" customHeight="1" x14ac:dyDescent="0.2">
      <c r="A484" s="22"/>
      <c r="B484" s="16"/>
      <c r="C484" s="23"/>
      <c r="D484" s="24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8.75" customHeight="1" x14ac:dyDescent="0.2">
      <c r="A485" s="22"/>
      <c r="B485" s="16"/>
      <c r="C485" s="23"/>
      <c r="D485" s="24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8.75" customHeight="1" x14ac:dyDescent="0.2">
      <c r="A486" s="22"/>
      <c r="B486" s="16"/>
      <c r="C486" s="23"/>
      <c r="D486" s="24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8.75" customHeight="1" x14ac:dyDescent="0.2">
      <c r="A487" s="22"/>
      <c r="B487" s="16"/>
      <c r="C487" s="23"/>
      <c r="D487" s="24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8.75" customHeight="1" x14ac:dyDescent="0.2">
      <c r="A488" s="22"/>
      <c r="B488" s="16"/>
      <c r="C488" s="23"/>
      <c r="D488" s="24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8.75" customHeight="1" x14ac:dyDescent="0.2">
      <c r="A489" s="22"/>
      <c r="B489" s="16"/>
      <c r="C489" s="23"/>
      <c r="D489" s="24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8.75" customHeight="1" x14ac:dyDescent="0.2">
      <c r="A490" s="22"/>
      <c r="B490" s="16"/>
      <c r="C490" s="23"/>
      <c r="D490" s="24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8.75" customHeight="1" x14ac:dyDescent="0.2">
      <c r="A491" s="22"/>
      <c r="B491" s="16"/>
      <c r="C491" s="23"/>
      <c r="D491" s="24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8.75" customHeight="1" x14ac:dyDescent="0.2">
      <c r="A492" s="22"/>
      <c r="B492" s="16"/>
      <c r="C492" s="23"/>
      <c r="D492" s="24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8.75" customHeight="1" x14ac:dyDescent="0.2">
      <c r="A493" s="22"/>
      <c r="B493" s="16"/>
      <c r="C493" s="23"/>
      <c r="D493" s="24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8.75" customHeight="1" x14ac:dyDescent="0.2">
      <c r="A494" s="22"/>
      <c r="B494" s="16"/>
      <c r="C494" s="23"/>
      <c r="D494" s="24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8.75" customHeight="1" x14ac:dyDescent="0.2">
      <c r="A495" s="22"/>
      <c r="B495" s="16"/>
      <c r="C495" s="23"/>
      <c r="D495" s="24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8.75" customHeight="1" x14ac:dyDescent="0.2">
      <c r="A496" s="22"/>
      <c r="B496" s="16"/>
      <c r="C496" s="23"/>
      <c r="D496" s="24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8.75" customHeight="1" x14ac:dyDescent="0.2">
      <c r="A497" s="22"/>
      <c r="B497" s="16"/>
      <c r="C497" s="23"/>
      <c r="D497" s="24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8.75" customHeight="1" x14ac:dyDescent="0.2">
      <c r="A498" s="22"/>
      <c r="B498" s="16"/>
      <c r="C498" s="23"/>
      <c r="D498" s="24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8.75" customHeight="1" x14ac:dyDescent="0.2">
      <c r="A499" s="22"/>
      <c r="B499" s="16"/>
      <c r="C499" s="23"/>
      <c r="D499" s="24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8.75" customHeight="1" x14ac:dyDescent="0.2">
      <c r="A500" s="22"/>
      <c r="B500" s="16"/>
      <c r="C500" s="23"/>
      <c r="D500" s="24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8.75" customHeight="1" x14ac:dyDescent="0.2">
      <c r="A501" s="22"/>
      <c r="B501" s="16"/>
      <c r="C501" s="23"/>
      <c r="D501" s="24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8.75" customHeight="1" x14ac:dyDescent="0.2">
      <c r="A502" s="22"/>
      <c r="B502" s="16"/>
      <c r="C502" s="23"/>
      <c r="D502" s="2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8.75" customHeight="1" x14ac:dyDescent="0.2">
      <c r="A503" s="22"/>
      <c r="B503" s="16"/>
      <c r="C503" s="23"/>
      <c r="D503" s="24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8.75" customHeight="1" x14ac:dyDescent="0.2">
      <c r="A504" s="22"/>
      <c r="B504" s="16"/>
      <c r="C504" s="23"/>
      <c r="D504" s="24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8.75" customHeight="1" x14ac:dyDescent="0.2">
      <c r="A505" s="22"/>
      <c r="B505" s="16"/>
      <c r="C505" s="23"/>
      <c r="D505" s="2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8.75" customHeight="1" x14ac:dyDescent="0.2">
      <c r="A506" s="22"/>
      <c r="B506" s="16"/>
      <c r="C506" s="23"/>
      <c r="D506" s="24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8.75" customHeight="1" x14ac:dyDescent="0.2">
      <c r="A507" s="22"/>
      <c r="B507" s="16"/>
      <c r="C507" s="23"/>
      <c r="D507" s="24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8.75" customHeight="1" x14ac:dyDescent="0.2">
      <c r="A508" s="22"/>
      <c r="B508" s="16"/>
      <c r="C508" s="23"/>
      <c r="D508" s="24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8.75" customHeight="1" x14ac:dyDescent="0.2">
      <c r="A509" s="22"/>
      <c r="B509" s="16"/>
      <c r="C509" s="23"/>
      <c r="D509" s="24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8.75" customHeight="1" x14ac:dyDescent="0.2">
      <c r="A510" s="22"/>
      <c r="B510" s="16"/>
      <c r="C510" s="23"/>
      <c r="D510" s="24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8.75" customHeight="1" x14ac:dyDescent="0.2">
      <c r="A511" s="22"/>
      <c r="B511" s="16"/>
      <c r="C511" s="23"/>
      <c r="D511" s="24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8.75" customHeight="1" x14ac:dyDescent="0.2">
      <c r="A512" s="22"/>
      <c r="B512" s="16"/>
      <c r="C512" s="23"/>
      <c r="D512" s="24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8.75" customHeight="1" x14ac:dyDescent="0.2">
      <c r="A513" s="22"/>
      <c r="B513" s="16"/>
      <c r="C513" s="23"/>
      <c r="D513" s="24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8.75" customHeight="1" x14ac:dyDescent="0.2">
      <c r="A514" s="22"/>
      <c r="B514" s="16"/>
      <c r="C514" s="23"/>
      <c r="D514" s="24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8.75" customHeight="1" x14ac:dyDescent="0.2">
      <c r="A515" s="22"/>
      <c r="B515" s="16"/>
      <c r="C515" s="23"/>
      <c r="D515" s="24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8.75" customHeight="1" x14ac:dyDescent="0.2">
      <c r="A516" s="22"/>
      <c r="B516" s="16"/>
      <c r="C516" s="23"/>
      <c r="D516" s="24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8.75" customHeight="1" x14ac:dyDescent="0.2">
      <c r="A517" s="22"/>
      <c r="B517" s="16"/>
      <c r="C517" s="23"/>
      <c r="D517" s="24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8.75" customHeight="1" x14ac:dyDescent="0.2">
      <c r="A518" s="22"/>
      <c r="B518" s="16"/>
      <c r="C518" s="23"/>
      <c r="D518" s="24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8.75" customHeight="1" x14ac:dyDescent="0.2">
      <c r="A519" s="22"/>
      <c r="B519" s="16"/>
      <c r="C519" s="23"/>
      <c r="D519" s="24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8.75" customHeight="1" x14ac:dyDescent="0.2">
      <c r="A520" s="22"/>
      <c r="B520" s="16"/>
      <c r="C520" s="23"/>
      <c r="D520" s="24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8.75" customHeight="1" x14ac:dyDescent="0.2">
      <c r="A521" s="22"/>
      <c r="B521" s="16"/>
      <c r="C521" s="23"/>
      <c r="D521" s="24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8.75" customHeight="1" x14ac:dyDescent="0.2">
      <c r="A522" s="22"/>
      <c r="B522" s="16"/>
      <c r="C522" s="23"/>
      <c r="D522" s="24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8.75" customHeight="1" x14ac:dyDescent="0.2">
      <c r="A523" s="22"/>
      <c r="B523" s="16"/>
      <c r="C523" s="23"/>
      <c r="D523" s="24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8.75" customHeight="1" x14ac:dyDescent="0.2">
      <c r="A524" s="22"/>
      <c r="B524" s="16"/>
      <c r="C524" s="23"/>
      <c r="D524" s="2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8.75" customHeight="1" x14ac:dyDescent="0.2">
      <c r="A525" s="22"/>
      <c r="B525" s="16"/>
      <c r="C525" s="23"/>
      <c r="D525" s="24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8.75" customHeight="1" x14ac:dyDescent="0.2">
      <c r="A526" s="22"/>
      <c r="B526" s="16"/>
      <c r="C526" s="23"/>
      <c r="D526" s="24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8.75" customHeight="1" x14ac:dyDescent="0.2">
      <c r="A527" s="22"/>
      <c r="B527" s="16"/>
      <c r="C527" s="23"/>
      <c r="D527" s="24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8.75" customHeight="1" x14ac:dyDescent="0.2">
      <c r="A528" s="22"/>
      <c r="B528" s="16"/>
      <c r="C528" s="23"/>
      <c r="D528" s="24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8.75" customHeight="1" x14ac:dyDescent="0.2">
      <c r="A529" s="22"/>
      <c r="B529" s="16"/>
      <c r="C529" s="23"/>
      <c r="D529" s="24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8.75" customHeight="1" x14ac:dyDescent="0.2">
      <c r="A530" s="22"/>
      <c r="B530" s="16"/>
      <c r="C530" s="23"/>
      <c r="D530" s="2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8.75" customHeight="1" x14ac:dyDescent="0.2">
      <c r="A531" s="22"/>
      <c r="B531" s="16"/>
      <c r="C531" s="23"/>
      <c r="D531" s="2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8.75" customHeight="1" x14ac:dyDescent="0.2">
      <c r="A532" s="22"/>
      <c r="B532" s="16"/>
      <c r="C532" s="23"/>
      <c r="D532" s="2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8.75" customHeight="1" x14ac:dyDescent="0.2">
      <c r="A533" s="22"/>
      <c r="B533" s="16"/>
      <c r="C533" s="23"/>
      <c r="D533" s="2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8.75" customHeight="1" x14ac:dyDescent="0.2">
      <c r="A534" s="22"/>
      <c r="B534" s="16"/>
      <c r="C534" s="23"/>
      <c r="D534" s="24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8.75" customHeight="1" x14ac:dyDescent="0.2">
      <c r="A535" s="22"/>
      <c r="B535" s="16"/>
      <c r="C535" s="23"/>
      <c r="D535" s="24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8.75" customHeight="1" x14ac:dyDescent="0.2">
      <c r="A536" s="22"/>
      <c r="B536" s="16"/>
      <c r="C536" s="23"/>
      <c r="D536" s="24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8.75" customHeight="1" x14ac:dyDescent="0.2">
      <c r="A537" s="22"/>
      <c r="B537" s="16"/>
      <c r="C537" s="23"/>
      <c r="D537" s="24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8.75" customHeight="1" x14ac:dyDescent="0.2">
      <c r="A538" s="22"/>
      <c r="B538" s="16"/>
      <c r="C538" s="23"/>
      <c r="D538" s="2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8.75" customHeight="1" x14ac:dyDescent="0.2">
      <c r="A539" s="22"/>
      <c r="B539" s="16"/>
      <c r="C539" s="23"/>
      <c r="D539" s="24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8.75" customHeight="1" x14ac:dyDescent="0.2">
      <c r="A540" s="22"/>
      <c r="B540" s="16"/>
      <c r="C540" s="23"/>
      <c r="D540" s="24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8.75" customHeight="1" x14ac:dyDescent="0.2">
      <c r="A541" s="22"/>
      <c r="B541" s="16"/>
      <c r="C541" s="23"/>
      <c r="D541" s="24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8.75" customHeight="1" x14ac:dyDescent="0.2">
      <c r="A542" s="22"/>
      <c r="B542" s="16"/>
      <c r="C542" s="23"/>
      <c r="D542" s="24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8.75" customHeight="1" x14ac:dyDescent="0.2">
      <c r="A543" s="22"/>
      <c r="B543" s="16"/>
      <c r="C543" s="23"/>
      <c r="D543" s="24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8.75" customHeight="1" x14ac:dyDescent="0.2">
      <c r="A544" s="22"/>
      <c r="B544" s="16"/>
      <c r="C544" s="23"/>
      <c r="D544" s="24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8.75" customHeight="1" x14ac:dyDescent="0.2">
      <c r="A545" s="22"/>
      <c r="B545" s="16"/>
      <c r="C545" s="23"/>
      <c r="D545" s="24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8.75" customHeight="1" x14ac:dyDescent="0.2">
      <c r="A546" s="22"/>
      <c r="B546" s="16"/>
      <c r="C546" s="23"/>
      <c r="D546" s="24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8.75" customHeight="1" x14ac:dyDescent="0.2">
      <c r="A547" s="22"/>
      <c r="B547" s="16"/>
      <c r="C547" s="23"/>
      <c r="D547" s="2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8.75" customHeight="1" x14ac:dyDescent="0.2">
      <c r="A548" s="22"/>
      <c r="B548" s="16"/>
      <c r="C548" s="23"/>
      <c r="D548" s="24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8.75" customHeight="1" x14ac:dyDescent="0.2">
      <c r="A549" s="22"/>
      <c r="B549" s="16"/>
      <c r="C549" s="23"/>
      <c r="D549" s="24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8.75" customHeight="1" x14ac:dyDescent="0.2">
      <c r="A550" s="22"/>
      <c r="B550" s="16"/>
      <c r="C550" s="23"/>
      <c r="D550" s="24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8.75" customHeight="1" x14ac:dyDescent="0.2">
      <c r="A551" s="22"/>
      <c r="B551" s="16"/>
      <c r="C551" s="23"/>
      <c r="D551" s="24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8.75" customHeight="1" x14ac:dyDescent="0.2">
      <c r="A552" s="22"/>
      <c r="B552" s="16"/>
      <c r="C552" s="23"/>
      <c r="D552" s="24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8.75" customHeight="1" x14ac:dyDescent="0.2">
      <c r="A553" s="22"/>
      <c r="B553" s="16"/>
      <c r="C553" s="23"/>
      <c r="D553" s="24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8.75" customHeight="1" x14ac:dyDescent="0.2">
      <c r="A554" s="22"/>
      <c r="B554" s="16"/>
      <c r="C554" s="23"/>
      <c r="D554" s="24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8.75" customHeight="1" x14ac:dyDescent="0.2">
      <c r="A555" s="22"/>
      <c r="B555" s="16"/>
      <c r="C555" s="23"/>
      <c r="D555" s="24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8.75" customHeight="1" x14ac:dyDescent="0.2">
      <c r="A556" s="22"/>
      <c r="B556" s="16"/>
      <c r="C556" s="23"/>
      <c r="D556" s="24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8.75" customHeight="1" x14ac:dyDescent="0.2">
      <c r="A557" s="22"/>
      <c r="B557" s="16"/>
      <c r="C557" s="23"/>
      <c r="D557" s="24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8.75" customHeight="1" x14ac:dyDescent="0.2">
      <c r="A558" s="22"/>
      <c r="B558" s="16"/>
      <c r="C558" s="23"/>
      <c r="D558" s="24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8.75" customHeight="1" x14ac:dyDescent="0.2">
      <c r="A559" s="22"/>
      <c r="B559" s="16"/>
      <c r="C559" s="23"/>
      <c r="D559" s="24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8.75" customHeight="1" x14ac:dyDescent="0.2">
      <c r="A560" s="22"/>
      <c r="B560" s="16"/>
      <c r="C560" s="23"/>
      <c r="D560" s="24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8.75" customHeight="1" x14ac:dyDescent="0.2">
      <c r="A561" s="22"/>
      <c r="B561" s="16"/>
      <c r="C561" s="23"/>
      <c r="D561" s="24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8.75" customHeight="1" x14ac:dyDescent="0.2">
      <c r="A562" s="22"/>
      <c r="B562" s="16"/>
      <c r="C562" s="23"/>
      <c r="D562" s="24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8.75" customHeight="1" x14ac:dyDescent="0.2">
      <c r="A563" s="22"/>
      <c r="B563" s="16"/>
      <c r="C563" s="23"/>
      <c r="D563" s="24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8.75" customHeight="1" x14ac:dyDescent="0.2">
      <c r="A564" s="22"/>
      <c r="B564" s="16"/>
      <c r="C564" s="23"/>
      <c r="D564" s="24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8.75" customHeight="1" x14ac:dyDescent="0.2">
      <c r="A565" s="22"/>
      <c r="B565" s="16"/>
      <c r="C565" s="23"/>
      <c r="D565" s="24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8.75" customHeight="1" x14ac:dyDescent="0.2">
      <c r="A566" s="22"/>
      <c r="B566" s="16"/>
      <c r="C566" s="23"/>
      <c r="D566" s="24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8.75" customHeight="1" x14ac:dyDescent="0.2">
      <c r="A567" s="22"/>
      <c r="B567" s="16"/>
      <c r="C567" s="23"/>
      <c r="D567" s="24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8.75" customHeight="1" x14ac:dyDescent="0.2">
      <c r="A568" s="22"/>
      <c r="B568" s="16"/>
      <c r="C568" s="23"/>
      <c r="D568" s="24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8.75" customHeight="1" x14ac:dyDescent="0.2">
      <c r="A569" s="22"/>
      <c r="B569" s="16"/>
      <c r="C569" s="23"/>
      <c r="D569" s="24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8.75" customHeight="1" x14ac:dyDescent="0.2">
      <c r="A570" s="22"/>
      <c r="B570" s="16"/>
      <c r="C570" s="23"/>
      <c r="D570" s="24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8.75" customHeight="1" x14ac:dyDescent="0.2">
      <c r="A571" s="22"/>
      <c r="B571" s="16"/>
      <c r="C571" s="23"/>
      <c r="D571" s="24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8.75" customHeight="1" x14ac:dyDescent="0.2">
      <c r="A572" s="22"/>
      <c r="B572" s="16"/>
      <c r="C572" s="23"/>
      <c r="D572" s="24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8.75" customHeight="1" x14ac:dyDescent="0.2">
      <c r="A573" s="22"/>
      <c r="B573" s="16"/>
      <c r="C573" s="23"/>
      <c r="D573" s="24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8.75" customHeight="1" x14ac:dyDescent="0.2">
      <c r="A574" s="22"/>
      <c r="B574" s="16"/>
      <c r="C574" s="23"/>
      <c r="D574" s="24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8.75" customHeight="1" x14ac:dyDescent="0.2">
      <c r="A575" s="22"/>
      <c r="B575" s="16"/>
      <c r="C575" s="23"/>
      <c r="D575" s="24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8.75" customHeight="1" x14ac:dyDescent="0.2">
      <c r="A576" s="22"/>
      <c r="B576" s="16"/>
      <c r="C576" s="23"/>
      <c r="D576" s="24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8.75" customHeight="1" x14ac:dyDescent="0.2">
      <c r="A577" s="22"/>
      <c r="B577" s="16"/>
      <c r="C577" s="23"/>
      <c r="D577" s="24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8.75" customHeight="1" x14ac:dyDescent="0.2">
      <c r="A578" s="22"/>
      <c r="B578" s="16"/>
      <c r="C578" s="23"/>
      <c r="D578" s="24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8.75" customHeight="1" x14ac:dyDescent="0.2">
      <c r="A579" s="22"/>
      <c r="B579" s="16"/>
      <c r="C579" s="23"/>
      <c r="D579" s="24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8.75" customHeight="1" x14ac:dyDescent="0.2">
      <c r="A580" s="22"/>
      <c r="B580" s="16"/>
      <c r="C580" s="23"/>
      <c r="D580" s="24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8.75" customHeight="1" x14ac:dyDescent="0.2">
      <c r="A581" s="22"/>
      <c r="B581" s="16"/>
      <c r="C581" s="23"/>
      <c r="D581" s="24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8.75" customHeight="1" x14ac:dyDescent="0.2">
      <c r="A582" s="22"/>
      <c r="B582" s="16"/>
      <c r="C582" s="23"/>
      <c r="D582" s="24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8.75" customHeight="1" x14ac:dyDescent="0.2">
      <c r="A583" s="22"/>
      <c r="B583" s="16"/>
      <c r="C583" s="23"/>
      <c r="D583" s="24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8.75" customHeight="1" x14ac:dyDescent="0.2">
      <c r="A584" s="22"/>
      <c r="B584" s="16"/>
      <c r="C584" s="23"/>
      <c r="D584" s="24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8.75" customHeight="1" x14ac:dyDescent="0.2">
      <c r="A585" s="22"/>
      <c r="B585" s="16"/>
      <c r="C585" s="23"/>
      <c r="D585" s="24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8.75" customHeight="1" x14ac:dyDescent="0.2">
      <c r="A586" s="22"/>
      <c r="B586" s="16"/>
      <c r="C586" s="23"/>
      <c r="D586" s="24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8.75" customHeight="1" x14ac:dyDescent="0.2">
      <c r="A587" s="22"/>
      <c r="B587" s="16"/>
      <c r="C587" s="23"/>
      <c r="D587" s="24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8.75" customHeight="1" x14ac:dyDescent="0.2">
      <c r="A588" s="22"/>
      <c r="B588" s="16"/>
      <c r="C588" s="23"/>
      <c r="D588" s="24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8.75" customHeight="1" x14ac:dyDescent="0.2">
      <c r="A589" s="22"/>
      <c r="B589" s="16"/>
      <c r="C589" s="23"/>
      <c r="D589" s="24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8.75" customHeight="1" x14ac:dyDescent="0.2">
      <c r="A590" s="22"/>
      <c r="B590" s="16"/>
      <c r="C590" s="23"/>
      <c r="D590" s="24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8.75" customHeight="1" x14ac:dyDescent="0.2">
      <c r="A591" s="22"/>
      <c r="B591" s="16"/>
      <c r="C591" s="23"/>
      <c r="D591" s="24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8.75" customHeight="1" x14ac:dyDescent="0.2">
      <c r="A592" s="22"/>
      <c r="B592" s="16"/>
      <c r="C592" s="23"/>
      <c r="D592" s="24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8.75" customHeight="1" x14ac:dyDescent="0.2">
      <c r="A593" s="22"/>
      <c r="B593" s="16"/>
      <c r="C593" s="23"/>
      <c r="D593" s="24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8.75" customHeight="1" x14ac:dyDescent="0.2">
      <c r="A594" s="22"/>
      <c r="B594" s="16"/>
      <c r="C594" s="23"/>
      <c r="D594" s="24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8.75" customHeight="1" x14ac:dyDescent="0.2">
      <c r="A595" s="22"/>
      <c r="B595" s="16"/>
      <c r="C595" s="23"/>
      <c r="D595" s="24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8.75" customHeight="1" x14ac:dyDescent="0.2">
      <c r="A596" s="22"/>
      <c r="B596" s="16"/>
      <c r="C596" s="23"/>
      <c r="D596" s="24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8.75" customHeight="1" x14ac:dyDescent="0.2">
      <c r="A597" s="22"/>
      <c r="B597" s="16"/>
      <c r="C597" s="23"/>
      <c r="D597" s="24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8.75" customHeight="1" x14ac:dyDescent="0.2">
      <c r="A598" s="22"/>
      <c r="B598" s="16"/>
      <c r="C598" s="23"/>
      <c r="D598" s="24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8.75" customHeight="1" x14ac:dyDescent="0.2">
      <c r="A599" s="22"/>
      <c r="B599" s="16"/>
      <c r="C599" s="23"/>
      <c r="D599" s="24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8.75" customHeight="1" x14ac:dyDescent="0.2">
      <c r="A600" s="22"/>
      <c r="B600" s="16"/>
      <c r="C600" s="23"/>
      <c r="D600" s="24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8.75" customHeight="1" x14ac:dyDescent="0.2">
      <c r="A601" s="22"/>
      <c r="B601" s="16"/>
      <c r="C601" s="23"/>
      <c r="D601" s="2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8.75" customHeight="1" x14ac:dyDescent="0.2">
      <c r="A602" s="22"/>
      <c r="B602" s="16"/>
      <c r="C602" s="23"/>
      <c r="D602" s="24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8.75" customHeight="1" x14ac:dyDescent="0.2">
      <c r="A603" s="22"/>
      <c r="B603" s="16"/>
      <c r="C603" s="23"/>
      <c r="D603" s="24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8.75" customHeight="1" x14ac:dyDescent="0.2">
      <c r="A604" s="22"/>
      <c r="B604" s="16"/>
      <c r="C604" s="23"/>
      <c r="D604" s="24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8.75" customHeight="1" x14ac:dyDescent="0.2">
      <c r="A605" s="22"/>
      <c r="B605" s="16"/>
      <c r="C605" s="23"/>
      <c r="D605" s="24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8.75" customHeight="1" x14ac:dyDescent="0.2">
      <c r="A606" s="22"/>
      <c r="B606" s="16"/>
      <c r="C606" s="23"/>
      <c r="D606" s="24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8.75" customHeight="1" x14ac:dyDescent="0.2">
      <c r="A607" s="22"/>
      <c r="B607" s="16"/>
      <c r="C607" s="23"/>
      <c r="D607" s="24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8.75" customHeight="1" x14ac:dyDescent="0.2">
      <c r="A608" s="22"/>
      <c r="B608" s="16"/>
      <c r="C608" s="23"/>
      <c r="D608" s="24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8.75" customHeight="1" x14ac:dyDescent="0.2">
      <c r="A609" s="22"/>
      <c r="B609" s="16"/>
      <c r="C609" s="23"/>
      <c r="D609" s="24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8.75" customHeight="1" x14ac:dyDescent="0.2">
      <c r="A610" s="22"/>
      <c r="B610" s="16"/>
      <c r="C610" s="23"/>
      <c r="D610" s="24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8.75" customHeight="1" x14ac:dyDescent="0.2">
      <c r="A611" s="22"/>
      <c r="B611" s="16"/>
      <c r="C611" s="23"/>
      <c r="D611" s="24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8.75" customHeight="1" x14ac:dyDescent="0.2">
      <c r="A612" s="22"/>
      <c r="B612" s="16"/>
      <c r="C612" s="23"/>
      <c r="D612" s="24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8.75" customHeight="1" x14ac:dyDescent="0.2">
      <c r="A613" s="22"/>
      <c r="B613" s="16"/>
      <c r="C613" s="23"/>
      <c r="D613" s="24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8.75" customHeight="1" x14ac:dyDescent="0.2">
      <c r="A614" s="22"/>
      <c r="B614" s="16"/>
      <c r="C614" s="23"/>
      <c r="D614" s="24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8.75" customHeight="1" x14ac:dyDescent="0.2">
      <c r="A615" s="22"/>
      <c r="B615" s="16"/>
      <c r="C615" s="23"/>
      <c r="D615" s="24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8.75" customHeight="1" x14ac:dyDescent="0.2">
      <c r="A616" s="22"/>
      <c r="B616" s="16"/>
      <c r="C616" s="23"/>
      <c r="D616" s="24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8.75" customHeight="1" x14ac:dyDescent="0.2">
      <c r="A617" s="22"/>
      <c r="B617" s="16"/>
      <c r="C617" s="23"/>
      <c r="D617" s="24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8.75" customHeight="1" x14ac:dyDescent="0.2">
      <c r="A618" s="22"/>
      <c r="B618" s="16"/>
      <c r="C618" s="23"/>
      <c r="D618" s="24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8.75" customHeight="1" x14ac:dyDescent="0.2">
      <c r="A619" s="22"/>
      <c r="B619" s="16"/>
      <c r="C619" s="23"/>
      <c r="D619" s="24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8.75" customHeight="1" x14ac:dyDescent="0.2">
      <c r="A620" s="22"/>
      <c r="B620" s="16"/>
      <c r="C620" s="23"/>
      <c r="D620" s="24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8.75" customHeight="1" x14ac:dyDescent="0.2">
      <c r="A621" s="22"/>
      <c r="B621" s="16"/>
      <c r="C621" s="23"/>
      <c r="D621" s="24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8.75" customHeight="1" x14ac:dyDescent="0.2">
      <c r="A622" s="22"/>
      <c r="B622" s="16"/>
      <c r="C622" s="23"/>
      <c r="D622" s="24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8.75" customHeight="1" x14ac:dyDescent="0.2">
      <c r="A623" s="22"/>
      <c r="B623" s="16"/>
      <c r="C623" s="23"/>
      <c r="D623" s="24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8.75" customHeight="1" x14ac:dyDescent="0.2">
      <c r="A624" s="22"/>
      <c r="B624" s="16"/>
      <c r="C624" s="23"/>
      <c r="D624" s="24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8.75" customHeight="1" x14ac:dyDescent="0.2">
      <c r="A625" s="22"/>
      <c r="B625" s="16"/>
      <c r="C625" s="23"/>
      <c r="D625" s="24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8.75" customHeight="1" x14ac:dyDescent="0.2">
      <c r="A626" s="22"/>
      <c r="B626" s="16"/>
      <c r="C626" s="23"/>
      <c r="D626" s="24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8.75" customHeight="1" x14ac:dyDescent="0.2">
      <c r="A627" s="22"/>
      <c r="B627" s="16"/>
      <c r="C627" s="23"/>
      <c r="D627" s="24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8.75" customHeight="1" x14ac:dyDescent="0.2">
      <c r="A628" s="22"/>
      <c r="B628" s="16"/>
      <c r="C628" s="23"/>
      <c r="D628" s="24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8.75" customHeight="1" x14ac:dyDescent="0.2">
      <c r="A629" s="22"/>
      <c r="B629" s="16"/>
      <c r="C629" s="23"/>
      <c r="D629" s="24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8.75" customHeight="1" x14ac:dyDescent="0.2">
      <c r="A630" s="22"/>
      <c r="B630" s="16"/>
      <c r="C630" s="23"/>
      <c r="D630" s="24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8.75" customHeight="1" x14ac:dyDescent="0.2">
      <c r="A631" s="22"/>
      <c r="B631" s="16"/>
      <c r="C631" s="23"/>
      <c r="D631" s="24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8.75" customHeight="1" x14ac:dyDescent="0.2">
      <c r="A632" s="22"/>
      <c r="B632" s="16"/>
      <c r="C632" s="23"/>
      <c r="D632" s="24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8.75" customHeight="1" x14ac:dyDescent="0.2">
      <c r="A633" s="22"/>
      <c r="B633" s="16"/>
      <c r="C633" s="23"/>
      <c r="D633" s="24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8.75" customHeight="1" x14ac:dyDescent="0.2">
      <c r="A634" s="22"/>
      <c r="B634" s="16"/>
      <c r="C634" s="23"/>
      <c r="D634" s="24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8.75" customHeight="1" x14ac:dyDescent="0.2">
      <c r="A635" s="22"/>
      <c r="B635" s="16"/>
      <c r="C635" s="23"/>
      <c r="D635" s="24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8.75" customHeight="1" x14ac:dyDescent="0.2">
      <c r="A636" s="22"/>
      <c r="B636" s="16"/>
      <c r="C636" s="23"/>
      <c r="D636" s="24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8.75" customHeight="1" x14ac:dyDescent="0.2">
      <c r="A637" s="22"/>
      <c r="B637" s="16"/>
      <c r="C637" s="23"/>
      <c r="D637" s="24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8.75" customHeight="1" x14ac:dyDescent="0.2">
      <c r="A638" s="22"/>
      <c r="B638" s="16"/>
      <c r="C638" s="23"/>
      <c r="D638" s="24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8.75" customHeight="1" x14ac:dyDescent="0.2">
      <c r="A639" s="22"/>
      <c r="B639" s="16"/>
      <c r="C639" s="23"/>
      <c r="D639" s="24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8.75" customHeight="1" x14ac:dyDescent="0.2">
      <c r="A640" s="22"/>
      <c r="B640" s="16"/>
      <c r="C640" s="23"/>
      <c r="D640" s="24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8.75" customHeight="1" x14ac:dyDescent="0.2">
      <c r="A641" s="22"/>
      <c r="B641" s="16"/>
      <c r="C641" s="23"/>
      <c r="D641" s="24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8.75" customHeight="1" x14ac:dyDescent="0.2">
      <c r="A642" s="22"/>
      <c r="B642" s="16"/>
      <c r="C642" s="23"/>
      <c r="D642" s="24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8.75" customHeight="1" x14ac:dyDescent="0.2">
      <c r="A643" s="22"/>
      <c r="B643" s="16"/>
      <c r="C643" s="23"/>
      <c r="D643" s="24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8.75" customHeight="1" x14ac:dyDescent="0.2">
      <c r="A644" s="22"/>
      <c r="B644" s="16"/>
      <c r="C644" s="23"/>
      <c r="D644" s="24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8.75" customHeight="1" x14ac:dyDescent="0.2">
      <c r="A645" s="22"/>
      <c r="B645" s="16"/>
      <c r="C645" s="23"/>
      <c r="D645" s="24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8.75" customHeight="1" x14ac:dyDescent="0.2">
      <c r="A646" s="22"/>
      <c r="B646" s="16"/>
      <c r="C646" s="23"/>
      <c r="D646" s="24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8.75" customHeight="1" x14ac:dyDescent="0.2">
      <c r="A647" s="22"/>
      <c r="B647" s="16"/>
      <c r="C647" s="23"/>
      <c r="D647" s="24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8.75" customHeight="1" x14ac:dyDescent="0.2">
      <c r="A648" s="22"/>
      <c r="B648" s="16"/>
      <c r="C648" s="23"/>
      <c r="D648" s="24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8.75" customHeight="1" x14ac:dyDescent="0.2">
      <c r="A649" s="22"/>
      <c r="B649" s="16"/>
      <c r="C649" s="23"/>
      <c r="D649" s="24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8.75" customHeight="1" x14ac:dyDescent="0.2">
      <c r="A650" s="22"/>
      <c r="B650" s="16"/>
      <c r="C650" s="23"/>
      <c r="D650" s="24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8.75" customHeight="1" x14ac:dyDescent="0.2">
      <c r="A651" s="22"/>
      <c r="B651" s="16"/>
      <c r="C651" s="23"/>
      <c r="D651" s="24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8.75" customHeight="1" x14ac:dyDescent="0.2">
      <c r="A652" s="22"/>
      <c r="B652" s="16"/>
      <c r="C652" s="23"/>
      <c r="D652" s="24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8.75" customHeight="1" x14ac:dyDescent="0.2">
      <c r="A653" s="22"/>
      <c r="B653" s="16"/>
      <c r="C653" s="23"/>
      <c r="D653" s="24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8.75" customHeight="1" x14ac:dyDescent="0.2">
      <c r="A654" s="22"/>
      <c r="B654" s="16"/>
      <c r="C654" s="23"/>
      <c r="D654" s="24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8.75" customHeight="1" x14ac:dyDescent="0.2">
      <c r="A655" s="22"/>
      <c r="B655" s="16"/>
      <c r="C655" s="23"/>
      <c r="D655" s="24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8.75" customHeight="1" x14ac:dyDescent="0.2">
      <c r="A656" s="22"/>
      <c r="B656" s="16"/>
      <c r="C656" s="23"/>
      <c r="D656" s="24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8.75" customHeight="1" x14ac:dyDescent="0.2">
      <c r="A657" s="22"/>
      <c r="B657" s="16"/>
      <c r="C657" s="23"/>
      <c r="D657" s="24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8.75" customHeight="1" x14ac:dyDescent="0.2">
      <c r="A658" s="22"/>
      <c r="B658" s="16"/>
      <c r="C658" s="23"/>
      <c r="D658" s="24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8.75" customHeight="1" x14ac:dyDescent="0.2">
      <c r="A659" s="22"/>
      <c r="B659" s="16"/>
      <c r="C659" s="23"/>
      <c r="D659" s="24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8.75" customHeight="1" x14ac:dyDescent="0.2">
      <c r="A660" s="22"/>
      <c r="B660" s="16"/>
      <c r="C660" s="23"/>
      <c r="D660" s="24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8.75" customHeight="1" x14ac:dyDescent="0.2">
      <c r="A661" s="22"/>
      <c r="B661" s="16"/>
      <c r="C661" s="23"/>
      <c r="D661" s="24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8.75" customHeight="1" x14ac:dyDescent="0.2">
      <c r="A662" s="22"/>
      <c r="B662" s="16"/>
      <c r="C662" s="23"/>
      <c r="D662" s="24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8.75" customHeight="1" x14ac:dyDescent="0.2">
      <c r="A663" s="22"/>
      <c r="B663" s="16"/>
      <c r="C663" s="23"/>
      <c r="D663" s="24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8.75" customHeight="1" x14ac:dyDescent="0.2">
      <c r="A664" s="22"/>
      <c r="B664" s="16"/>
      <c r="C664" s="23"/>
      <c r="D664" s="24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8.75" customHeight="1" x14ac:dyDescent="0.2">
      <c r="A665" s="22"/>
      <c r="B665" s="16"/>
      <c r="C665" s="23"/>
      <c r="D665" s="24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8.75" customHeight="1" x14ac:dyDescent="0.2">
      <c r="A666" s="22"/>
      <c r="B666" s="16"/>
      <c r="C666" s="23"/>
      <c r="D666" s="24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8.75" customHeight="1" x14ac:dyDescent="0.2">
      <c r="A667" s="22"/>
      <c r="B667" s="16"/>
      <c r="C667" s="23"/>
      <c r="D667" s="24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8.75" customHeight="1" x14ac:dyDescent="0.2">
      <c r="A668" s="22"/>
      <c r="B668" s="16"/>
      <c r="C668" s="23"/>
      <c r="D668" s="24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8.75" customHeight="1" x14ac:dyDescent="0.2">
      <c r="A669" s="22"/>
      <c r="B669" s="16"/>
      <c r="C669" s="23"/>
      <c r="D669" s="24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8.75" customHeight="1" x14ac:dyDescent="0.2">
      <c r="A670" s="22"/>
      <c r="B670" s="16"/>
      <c r="C670" s="23"/>
      <c r="D670" s="24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8.75" customHeight="1" x14ac:dyDescent="0.2">
      <c r="A671" s="22"/>
      <c r="B671" s="16"/>
      <c r="C671" s="23"/>
      <c r="D671" s="24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8.75" customHeight="1" x14ac:dyDescent="0.2">
      <c r="A672" s="22"/>
      <c r="B672" s="16"/>
      <c r="C672" s="23"/>
      <c r="D672" s="24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8.75" customHeight="1" x14ac:dyDescent="0.2">
      <c r="A673" s="22"/>
      <c r="B673" s="16"/>
      <c r="C673" s="23"/>
      <c r="D673" s="24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8.75" customHeight="1" x14ac:dyDescent="0.2">
      <c r="A674" s="22"/>
      <c r="B674" s="16"/>
      <c r="C674" s="23"/>
      <c r="D674" s="24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8.75" customHeight="1" x14ac:dyDescent="0.2">
      <c r="A675" s="22"/>
      <c r="B675" s="16"/>
      <c r="C675" s="23"/>
      <c r="D675" s="24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8.75" customHeight="1" x14ac:dyDescent="0.2">
      <c r="A676" s="22"/>
      <c r="B676" s="16"/>
      <c r="C676" s="23"/>
      <c r="D676" s="24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8.75" customHeight="1" x14ac:dyDescent="0.2">
      <c r="A677" s="22"/>
      <c r="B677" s="16"/>
      <c r="C677" s="23"/>
      <c r="D677" s="24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8.75" customHeight="1" x14ac:dyDescent="0.2">
      <c r="A678" s="22"/>
      <c r="B678" s="16"/>
      <c r="C678" s="23"/>
      <c r="D678" s="24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8.75" customHeight="1" x14ac:dyDescent="0.2">
      <c r="A679" s="22"/>
      <c r="B679" s="16"/>
      <c r="C679" s="23"/>
      <c r="D679" s="24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8.75" customHeight="1" x14ac:dyDescent="0.2">
      <c r="A680" s="22"/>
      <c r="B680" s="16"/>
      <c r="C680" s="23"/>
      <c r="D680" s="24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8.75" customHeight="1" x14ac:dyDescent="0.2">
      <c r="A681" s="22"/>
      <c r="B681" s="16"/>
      <c r="C681" s="23"/>
      <c r="D681" s="24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8.75" customHeight="1" x14ac:dyDescent="0.2">
      <c r="A682" s="22"/>
      <c r="B682" s="16"/>
      <c r="C682" s="23"/>
      <c r="D682" s="24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8.75" customHeight="1" x14ac:dyDescent="0.2">
      <c r="A683" s="22"/>
      <c r="B683" s="16"/>
      <c r="C683" s="23"/>
      <c r="D683" s="24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8.75" customHeight="1" x14ac:dyDescent="0.2">
      <c r="A684" s="22"/>
      <c r="B684" s="16"/>
      <c r="C684" s="23"/>
      <c r="D684" s="24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8.75" customHeight="1" x14ac:dyDescent="0.2">
      <c r="A685" s="22"/>
      <c r="B685" s="16"/>
      <c r="C685" s="23"/>
      <c r="D685" s="24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8.75" customHeight="1" x14ac:dyDescent="0.2">
      <c r="A686" s="22"/>
      <c r="B686" s="16"/>
      <c r="C686" s="23"/>
      <c r="D686" s="24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8.75" customHeight="1" x14ac:dyDescent="0.2">
      <c r="A687" s="22"/>
      <c r="B687" s="16"/>
      <c r="C687" s="23"/>
      <c r="D687" s="24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8.75" customHeight="1" x14ac:dyDescent="0.2">
      <c r="A688" s="22"/>
      <c r="B688" s="16"/>
      <c r="C688" s="23"/>
      <c r="D688" s="24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8.75" customHeight="1" x14ac:dyDescent="0.2">
      <c r="A689" s="22"/>
      <c r="B689" s="16"/>
      <c r="C689" s="23"/>
      <c r="D689" s="24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8.75" customHeight="1" x14ac:dyDescent="0.2">
      <c r="A690" s="22"/>
      <c r="B690" s="16"/>
      <c r="C690" s="23"/>
      <c r="D690" s="24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8.75" customHeight="1" x14ac:dyDescent="0.2">
      <c r="A691" s="22"/>
      <c r="B691" s="16"/>
      <c r="C691" s="23"/>
      <c r="D691" s="24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8.75" customHeight="1" x14ac:dyDescent="0.2">
      <c r="A692" s="22"/>
      <c r="B692" s="16"/>
      <c r="C692" s="23"/>
      <c r="D692" s="24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8.75" customHeight="1" x14ac:dyDescent="0.2">
      <c r="A693" s="22"/>
      <c r="B693" s="16"/>
      <c r="C693" s="23"/>
      <c r="D693" s="24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8.75" customHeight="1" x14ac:dyDescent="0.2">
      <c r="A694" s="22"/>
      <c r="B694" s="16"/>
      <c r="C694" s="23"/>
      <c r="D694" s="24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8.75" customHeight="1" x14ac:dyDescent="0.2">
      <c r="A695" s="22"/>
      <c r="B695" s="16"/>
      <c r="C695" s="23"/>
      <c r="D695" s="24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8.75" customHeight="1" x14ac:dyDescent="0.2">
      <c r="A696" s="22"/>
      <c r="B696" s="16"/>
      <c r="C696" s="23"/>
      <c r="D696" s="24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8.75" customHeight="1" x14ac:dyDescent="0.2">
      <c r="A697" s="22"/>
      <c r="B697" s="16"/>
      <c r="C697" s="23"/>
      <c r="D697" s="24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8.75" customHeight="1" x14ac:dyDescent="0.2">
      <c r="A698" s="22"/>
      <c r="B698" s="16"/>
      <c r="C698" s="23"/>
      <c r="D698" s="24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8.75" customHeight="1" x14ac:dyDescent="0.2">
      <c r="A699" s="22"/>
      <c r="B699" s="16"/>
      <c r="C699" s="23"/>
      <c r="D699" s="24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8.75" customHeight="1" x14ac:dyDescent="0.2">
      <c r="A700" s="22"/>
      <c r="B700" s="16"/>
      <c r="C700" s="23"/>
      <c r="D700" s="24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8.75" customHeight="1" x14ac:dyDescent="0.2">
      <c r="A701" s="22"/>
      <c r="B701" s="16"/>
      <c r="C701" s="23"/>
      <c r="D701" s="24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8.75" customHeight="1" x14ac:dyDescent="0.2">
      <c r="A702" s="22"/>
      <c r="B702" s="16"/>
      <c r="C702" s="23"/>
      <c r="D702" s="24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8.75" customHeight="1" x14ac:dyDescent="0.2">
      <c r="A703" s="22"/>
      <c r="B703" s="16"/>
      <c r="C703" s="23"/>
      <c r="D703" s="24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8.75" customHeight="1" x14ac:dyDescent="0.2">
      <c r="A704" s="22"/>
      <c r="B704" s="16"/>
      <c r="C704" s="23"/>
      <c r="D704" s="24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8.75" customHeight="1" x14ac:dyDescent="0.2">
      <c r="A705" s="22"/>
      <c r="B705" s="16"/>
      <c r="C705" s="23"/>
      <c r="D705" s="24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8.75" customHeight="1" x14ac:dyDescent="0.2">
      <c r="A706" s="22"/>
      <c r="B706" s="16"/>
      <c r="C706" s="23"/>
      <c r="D706" s="24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8.75" customHeight="1" x14ac:dyDescent="0.2">
      <c r="A707" s="22"/>
      <c r="B707" s="16"/>
      <c r="C707" s="23"/>
      <c r="D707" s="24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8.75" customHeight="1" x14ac:dyDescent="0.2">
      <c r="A708" s="22"/>
      <c r="B708" s="16"/>
      <c r="C708" s="23"/>
      <c r="D708" s="24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8.75" customHeight="1" x14ac:dyDescent="0.2">
      <c r="A709" s="22"/>
      <c r="B709" s="16"/>
      <c r="C709" s="23"/>
      <c r="D709" s="24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8.75" customHeight="1" x14ac:dyDescent="0.2">
      <c r="A710" s="22"/>
      <c r="B710" s="16"/>
      <c r="C710" s="23"/>
      <c r="D710" s="24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8.75" customHeight="1" x14ac:dyDescent="0.2">
      <c r="A711" s="22"/>
      <c r="B711" s="16"/>
      <c r="C711" s="23"/>
      <c r="D711" s="24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8.75" customHeight="1" x14ac:dyDescent="0.2">
      <c r="A712" s="22"/>
      <c r="B712" s="16"/>
      <c r="C712" s="23"/>
      <c r="D712" s="24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8.75" customHeight="1" x14ac:dyDescent="0.2">
      <c r="A713" s="22"/>
      <c r="B713" s="16"/>
      <c r="C713" s="23"/>
      <c r="D713" s="24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8.75" customHeight="1" x14ac:dyDescent="0.2">
      <c r="A714" s="22"/>
      <c r="B714" s="16"/>
      <c r="C714" s="23"/>
      <c r="D714" s="24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8.75" customHeight="1" x14ac:dyDescent="0.2">
      <c r="A715" s="22"/>
      <c r="B715" s="16"/>
      <c r="C715" s="23"/>
      <c r="D715" s="24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8.75" customHeight="1" x14ac:dyDescent="0.2">
      <c r="A716" s="22"/>
      <c r="B716" s="16"/>
      <c r="C716" s="23"/>
      <c r="D716" s="24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8.75" customHeight="1" x14ac:dyDescent="0.2">
      <c r="A717" s="22"/>
      <c r="B717" s="16"/>
      <c r="C717" s="23"/>
      <c r="D717" s="24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8.75" customHeight="1" x14ac:dyDescent="0.2">
      <c r="A718" s="22"/>
      <c r="B718" s="16"/>
      <c r="C718" s="23"/>
      <c r="D718" s="24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8.75" customHeight="1" x14ac:dyDescent="0.2">
      <c r="A719" s="22"/>
      <c r="B719" s="16"/>
      <c r="C719" s="23"/>
      <c r="D719" s="24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8.75" customHeight="1" x14ac:dyDescent="0.2">
      <c r="A720" s="22"/>
      <c r="B720" s="16"/>
      <c r="C720" s="23"/>
      <c r="D720" s="24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8.75" customHeight="1" x14ac:dyDescent="0.2">
      <c r="A721" s="22"/>
      <c r="B721" s="16"/>
      <c r="C721" s="23"/>
      <c r="D721" s="24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8.75" customHeight="1" x14ac:dyDescent="0.2">
      <c r="A722" s="22"/>
      <c r="B722" s="16"/>
      <c r="C722" s="23"/>
      <c r="D722" s="24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8.75" customHeight="1" x14ac:dyDescent="0.2">
      <c r="A723" s="22"/>
      <c r="B723" s="16"/>
      <c r="C723" s="23"/>
      <c r="D723" s="24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8.75" customHeight="1" x14ac:dyDescent="0.2">
      <c r="A724" s="22"/>
      <c r="B724" s="16"/>
      <c r="C724" s="23"/>
      <c r="D724" s="24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8.75" customHeight="1" x14ac:dyDescent="0.2">
      <c r="A725" s="22"/>
      <c r="B725" s="16"/>
      <c r="C725" s="23"/>
      <c r="D725" s="24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8.75" customHeight="1" x14ac:dyDescent="0.2">
      <c r="A726" s="22"/>
      <c r="B726" s="16"/>
      <c r="C726" s="23"/>
      <c r="D726" s="24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8.75" customHeight="1" x14ac:dyDescent="0.2">
      <c r="A727" s="22"/>
      <c r="B727" s="16"/>
      <c r="C727" s="23"/>
      <c r="D727" s="24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8.75" customHeight="1" x14ac:dyDescent="0.2">
      <c r="A728" s="22"/>
      <c r="B728" s="16"/>
      <c r="C728" s="23"/>
      <c r="D728" s="24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8.75" customHeight="1" x14ac:dyDescent="0.2">
      <c r="A729" s="22"/>
      <c r="B729" s="16"/>
      <c r="C729" s="23"/>
      <c r="D729" s="24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8.75" customHeight="1" x14ac:dyDescent="0.2">
      <c r="A730" s="22"/>
      <c r="B730" s="16"/>
      <c r="C730" s="23"/>
      <c r="D730" s="24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8.75" customHeight="1" x14ac:dyDescent="0.2">
      <c r="A731" s="22"/>
      <c r="B731" s="16"/>
      <c r="C731" s="23"/>
      <c r="D731" s="24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8.75" customHeight="1" x14ac:dyDescent="0.2">
      <c r="A732" s="22"/>
      <c r="B732" s="16"/>
      <c r="C732" s="23"/>
      <c r="D732" s="24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8.75" customHeight="1" x14ac:dyDescent="0.2">
      <c r="A733" s="22"/>
      <c r="B733" s="16"/>
      <c r="C733" s="23"/>
      <c r="D733" s="24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8.75" customHeight="1" x14ac:dyDescent="0.2">
      <c r="A734" s="22"/>
      <c r="B734" s="16"/>
      <c r="C734" s="23"/>
      <c r="D734" s="24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8.75" customHeight="1" x14ac:dyDescent="0.2">
      <c r="A735" s="22"/>
      <c r="B735" s="16"/>
      <c r="C735" s="23"/>
      <c r="D735" s="24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8.75" customHeight="1" x14ac:dyDescent="0.2">
      <c r="A736" s="22"/>
      <c r="B736" s="16"/>
      <c r="C736" s="23"/>
      <c r="D736" s="24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8.75" customHeight="1" x14ac:dyDescent="0.2">
      <c r="A737" s="22"/>
      <c r="B737" s="16"/>
      <c r="C737" s="23"/>
      <c r="D737" s="24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8.75" customHeight="1" x14ac:dyDescent="0.2">
      <c r="A738" s="22"/>
      <c r="B738" s="16"/>
      <c r="C738" s="23"/>
      <c r="D738" s="24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8.75" customHeight="1" x14ac:dyDescent="0.2">
      <c r="A739" s="22"/>
      <c r="B739" s="16"/>
      <c r="C739" s="23"/>
      <c r="D739" s="24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8.75" customHeight="1" x14ac:dyDescent="0.2">
      <c r="A740" s="22"/>
      <c r="B740" s="16"/>
      <c r="C740" s="23"/>
      <c r="D740" s="24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8.75" customHeight="1" x14ac:dyDescent="0.2">
      <c r="A741" s="22"/>
      <c r="B741" s="16"/>
      <c r="C741" s="23"/>
      <c r="D741" s="24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8.75" customHeight="1" x14ac:dyDescent="0.2">
      <c r="A742" s="22"/>
      <c r="B742" s="16"/>
      <c r="C742" s="23"/>
      <c r="D742" s="24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8.75" customHeight="1" x14ac:dyDescent="0.2">
      <c r="A743" s="22"/>
      <c r="B743" s="16"/>
      <c r="C743" s="23"/>
      <c r="D743" s="24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8.75" customHeight="1" x14ac:dyDescent="0.2">
      <c r="A744" s="22"/>
      <c r="B744" s="16"/>
      <c r="C744" s="23"/>
      <c r="D744" s="24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8.75" customHeight="1" x14ac:dyDescent="0.2">
      <c r="A745" s="22"/>
      <c r="B745" s="16"/>
      <c r="C745" s="23"/>
      <c r="D745" s="24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8.75" customHeight="1" x14ac:dyDescent="0.2">
      <c r="A746" s="22"/>
      <c r="B746" s="16"/>
      <c r="C746" s="23"/>
      <c r="D746" s="24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8.75" customHeight="1" x14ac:dyDescent="0.2">
      <c r="A747" s="22"/>
      <c r="B747" s="16"/>
      <c r="C747" s="23"/>
      <c r="D747" s="24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8.75" customHeight="1" x14ac:dyDescent="0.2">
      <c r="A748" s="22"/>
      <c r="B748" s="16"/>
      <c r="C748" s="23"/>
      <c r="D748" s="24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8.75" customHeight="1" x14ac:dyDescent="0.2">
      <c r="A749" s="22"/>
      <c r="B749" s="16"/>
      <c r="C749" s="23"/>
      <c r="D749" s="24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8.75" customHeight="1" x14ac:dyDescent="0.2">
      <c r="A750" s="22"/>
      <c r="B750" s="16"/>
      <c r="C750" s="23"/>
      <c r="D750" s="24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8.75" customHeight="1" x14ac:dyDescent="0.2">
      <c r="A751" s="22"/>
      <c r="B751" s="16"/>
      <c r="C751" s="23"/>
      <c r="D751" s="24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8.75" customHeight="1" x14ac:dyDescent="0.2">
      <c r="A752" s="22"/>
      <c r="B752" s="16"/>
      <c r="C752" s="23"/>
      <c r="D752" s="24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8.75" customHeight="1" x14ac:dyDescent="0.2">
      <c r="A753" s="22"/>
      <c r="B753" s="16"/>
      <c r="C753" s="23"/>
      <c r="D753" s="24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8.75" customHeight="1" x14ac:dyDescent="0.2">
      <c r="A754" s="22"/>
      <c r="B754" s="16"/>
      <c r="C754" s="23"/>
      <c r="D754" s="24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8.75" customHeight="1" x14ac:dyDescent="0.2">
      <c r="A755" s="22"/>
      <c r="B755" s="16"/>
      <c r="C755" s="23"/>
      <c r="D755" s="24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8.75" customHeight="1" x14ac:dyDescent="0.2">
      <c r="A756" s="22"/>
      <c r="B756" s="16"/>
      <c r="C756" s="23"/>
      <c r="D756" s="24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8.75" customHeight="1" x14ac:dyDescent="0.2">
      <c r="A757" s="22"/>
      <c r="B757" s="16"/>
      <c r="C757" s="23"/>
      <c r="D757" s="24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8.75" customHeight="1" x14ac:dyDescent="0.2">
      <c r="A758" s="22"/>
      <c r="B758" s="16"/>
      <c r="C758" s="23"/>
      <c r="D758" s="24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8.75" customHeight="1" x14ac:dyDescent="0.2">
      <c r="A759" s="22"/>
      <c r="B759" s="16"/>
      <c r="C759" s="23"/>
      <c r="D759" s="24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8.75" customHeight="1" x14ac:dyDescent="0.2">
      <c r="A760" s="22"/>
      <c r="B760" s="16"/>
      <c r="C760" s="23"/>
      <c r="D760" s="24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8.75" customHeight="1" x14ac:dyDescent="0.2">
      <c r="A761" s="22"/>
      <c r="B761" s="16"/>
      <c r="C761" s="23"/>
      <c r="D761" s="24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8.75" customHeight="1" x14ac:dyDescent="0.2">
      <c r="A762" s="22"/>
      <c r="B762" s="16"/>
      <c r="C762" s="23"/>
      <c r="D762" s="24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8.75" customHeight="1" x14ac:dyDescent="0.2">
      <c r="A763" s="22"/>
      <c r="B763" s="16"/>
      <c r="C763" s="23"/>
      <c r="D763" s="24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8.75" customHeight="1" x14ac:dyDescent="0.2">
      <c r="A764" s="22"/>
      <c r="B764" s="16"/>
      <c r="C764" s="23"/>
      <c r="D764" s="24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8.75" customHeight="1" x14ac:dyDescent="0.2">
      <c r="A765" s="22"/>
      <c r="B765" s="16"/>
      <c r="C765" s="23"/>
      <c r="D765" s="24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8.75" customHeight="1" x14ac:dyDescent="0.2">
      <c r="A766" s="22"/>
      <c r="B766" s="16"/>
      <c r="C766" s="23"/>
      <c r="D766" s="24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8.75" customHeight="1" x14ac:dyDescent="0.2">
      <c r="A767" s="22"/>
      <c r="B767" s="16"/>
      <c r="C767" s="23"/>
      <c r="D767" s="24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8.75" customHeight="1" x14ac:dyDescent="0.2">
      <c r="A768" s="22"/>
      <c r="B768" s="16"/>
      <c r="C768" s="23"/>
      <c r="D768" s="24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8.75" customHeight="1" x14ac:dyDescent="0.2">
      <c r="A769" s="22"/>
      <c r="B769" s="16"/>
      <c r="C769" s="23"/>
      <c r="D769" s="24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8.75" customHeight="1" x14ac:dyDescent="0.2">
      <c r="A770" s="22"/>
      <c r="B770" s="16"/>
      <c r="C770" s="23"/>
      <c r="D770" s="24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8.75" customHeight="1" x14ac:dyDescent="0.2">
      <c r="A771" s="22"/>
      <c r="B771" s="16"/>
      <c r="C771" s="23"/>
      <c r="D771" s="24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8.75" customHeight="1" x14ac:dyDescent="0.2">
      <c r="A772" s="22"/>
      <c r="B772" s="16"/>
      <c r="C772" s="23"/>
      <c r="D772" s="24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8.75" customHeight="1" x14ac:dyDescent="0.2">
      <c r="A773" s="22"/>
      <c r="B773" s="16"/>
      <c r="C773" s="23"/>
      <c r="D773" s="24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8.75" customHeight="1" x14ac:dyDescent="0.2">
      <c r="A774" s="22"/>
      <c r="B774" s="16"/>
      <c r="C774" s="23"/>
      <c r="D774" s="24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8.75" customHeight="1" x14ac:dyDescent="0.2">
      <c r="A775" s="22"/>
      <c r="B775" s="16"/>
      <c r="C775" s="23"/>
      <c r="D775" s="24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8.75" customHeight="1" x14ac:dyDescent="0.2">
      <c r="A776" s="22"/>
      <c r="B776" s="16"/>
      <c r="C776" s="23"/>
      <c r="D776" s="24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8.75" customHeight="1" x14ac:dyDescent="0.2">
      <c r="A777" s="22"/>
      <c r="B777" s="16"/>
      <c r="C777" s="23"/>
      <c r="D777" s="24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8.75" customHeight="1" x14ac:dyDescent="0.2">
      <c r="A778" s="22"/>
      <c r="B778" s="16"/>
      <c r="C778" s="23"/>
      <c r="D778" s="24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8.75" customHeight="1" x14ac:dyDescent="0.2">
      <c r="A779" s="22"/>
      <c r="B779" s="16"/>
      <c r="C779" s="23"/>
      <c r="D779" s="24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8.75" customHeight="1" x14ac:dyDescent="0.2">
      <c r="A780" s="22"/>
      <c r="B780" s="16"/>
      <c r="C780" s="23"/>
      <c r="D780" s="24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8.75" customHeight="1" x14ac:dyDescent="0.2">
      <c r="A781" s="22"/>
      <c r="B781" s="16"/>
      <c r="C781" s="23"/>
      <c r="D781" s="24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8.75" customHeight="1" x14ac:dyDescent="0.2">
      <c r="A782" s="22"/>
      <c r="B782" s="16"/>
      <c r="C782" s="23"/>
      <c r="D782" s="24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8.75" customHeight="1" x14ac:dyDescent="0.2">
      <c r="A783" s="22"/>
      <c r="B783" s="16"/>
      <c r="C783" s="23"/>
      <c r="D783" s="24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8.75" customHeight="1" x14ac:dyDescent="0.2">
      <c r="A784" s="22"/>
      <c r="B784" s="16"/>
      <c r="C784" s="23"/>
      <c r="D784" s="24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8.75" customHeight="1" x14ac:dyDescent="0.2">
      <c r="A785" s="22"/>
      <c r="B785" s="16"/>
      <c r="C785" s="23"/>
      <c r="D785" s="24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8.75" customHeight="1" x14ac:dyDescent="0.2">
      <c r="A786" s="22"/>
      <c r="B786" s="16"/>
      <c r="C786" s="23"/>
      <c r="D786" s="24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8.75" customHeight="1" x14ac:dyDescent="0.2">
      <c r="A787" s="22"/>
      <c r="B787" s="16"/>
      <c r="C787" s="23"/>
      <c r="D787" s="24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8.75" customHeight="1" x14ac:dyDescent="0.2">
      <c r="A788" s="22"/>
      <c r="B788" s="16"/>
      <c r="C788" s="23"/>
      <c r="D788" s="24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8.75" customHeight="1" x14ac:dyDescent="0.2">
      <c r="A789" s="22"/>
      <c r="B789" s="16"/>
      <c r="C789" s="23"/>
      <c r="D789" s="24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8.75" customHeight="1" x14ac:dyDescent="0.2">
      <c r="A790" s="22"/>
      <c r="B790" s="16"/>
      <c r="C790" s="23"/>
      <c r="D790" s="24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8.75" customHeight="1" x14ac:dyDescent="0.2">
      <c r="A791" s="22"/>
      <c r="B791" s="16"/>
      <c r="C791" s="23"/>
      <c r="D791" s="24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8.75" customHeight="1" x14ac:dyDescent="0.2">
      <c r="A792" s="22"/>
      <c r="B792" s="16"/>
      <c r="C792" s="23"/>
      <c r="D792" s="24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8.75" customHeight="1" x14ac:dyDescent="0.2">
      <c r="A793" s="22"/>
      <c r="B793" s="16"/>
      <c r="C793" s="23"/>
      <c r="D793" s="24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8.75" customHeight="1" x14ac:dyDescent="0.2">
      <c r="A794" s="22"/>
      <c r="B794" s="16"/>
      <c r="C794" s="23"/>
      <c r="D794" s="24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8.75" customHeight="1" x14ac:dyDescent="0.2">
      <c r="A795" s="22"/>
      <c r="B795" s="16"/>
      <c r="C795" s="23"/>
      <c r="D795" s="24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8.75" customHeight="1" x14ac:dyDescent="0.2">
      <c r="A796" s="22"/>
      <c r="B796" s="16"/>
      <c r="C796" s="23"/>
      <c r="D796" s="24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8.75" customHeight="1" x14ac:dyDescent="0.2">
      <c r="A797" s="22"/>
      <c r="B797" s="16"/>
      <c r="C797" s="23"/>
      <c r="D797" s="24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8.75" customHeight="1" x14ac:dyDescent="0.2">
      <c r="A798" s="22"/>
      <c r="B798" s="16"/>
      <c r="C798" s="23"/>
      <c r="D798" s="24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8.75" customHeight="1" x14ac:dyDescent="0.2">
      <c r="A799" s="22"/>
      <c r="B799" s="16"/>
      <c r="C799" s="23"/>
      <c r="D799" s="24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8.75" customHeight="1" x14ac:dyDescent="0.2">
      <c r="A800" s="22"/>
      <c r="B800" s="16"/>
      <c r="C800" s="23"/>
      <c r="D800" s="24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8.75" customHeight="1" x14ac:dyDescent="0.2">
      <c r="A801" s="22"/>
      <c r="B801" s="16"/>
      <c r="C801" s="23"/>
      <c r="D801" s="24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8.75" customHeight="1" x14ac:dyDescent="0.2">
      <c r="A802" s="22"/>
      <c r="B802" s="16"/>
      <c r="C802" s="23"/>
      <c r="D802" s="24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8.75" customHeight="1" x14ac:dyDescent="0.2">
      <c r="A803" s="22"/>
      <c r="B803" s="16"/>
      <c r="C803" s="23"/>
      <c r="D803" s="24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8.75" customHeight="1" x14ac:dyDescent="0.2">
      <c r="A804" s="22"/>
      <c r="B804" s="16"/>
      <c r="C804" s="23"/>
      <c r="D804" s="24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8.75" customHeight="1" x14ac:dyDescent="0.2">
      <c r="A805" s="22"/>
      <c r="B805" s="16"/>
      <c r="C805" s="23"/>
      <c r="D805" s="24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8.75" customHeight="1" x14ac:dyDescent="0.2">
      <c r="A806" s="22"/>
      <c r="B806" s="16"/>
      <c r="C806" s="23"/>
      <c r="D806" s="24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8.75" customHeight="1" x14ac:dyDescent="0.2">
      <c r="A807" s="22"/>
      <c r="B807" s="16"/>
      <c r="C807" s="23"/>
      <c r="D807" s="24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8.75" customHeight="1" x14ac:dyDescent="0.2">
      <c r="A808" s="22"/>
      <c r="B808" s="16"/>
      <c r="C808" s="23"/>
      <c r="D808" s="24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8.75" customHeight="1" x14ac:dyDescent="0.2">
      <c r="A809" s="22"/>
      <c r="B809" s="16"/>
      <c r="C809" s="23"/>
      <c r="D809" s="24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8.75" customHeight="1" x14ac:dyDescent="0.2">
      <c r="A810" s="22"/>
      <c r="B810" s="16"/>
      <c r="C810" s="23"/>
      <c r="D810" s="24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8.75" customHeight="1" x14ac:dyDescent="0.2">
      <c r="A811" s="22"/>
      <c r="B811" s="16"/>
      <c r="C811" s="23"/>
      <c r="D811" s="24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8.75" customHeight="1" x14ac:dyDescent="0.2">
      <c r="A812" s="22"/>
      <c r="B812" s="16"/>
      <c r="C812" s="23"/>
      <c r="D812" s="24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8.75" customHeight="1" x14ac:dyDescent="0.2">
      <c r="A813" s="22"/>
      <c r="B813" s="16"/>
      <c r="C813" s="23"/>
      <c r="D813" s="24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8.75" customHeight="1" x14ac:dyDescent="0.2">
      <c r="A814" s="22"/>
      <c r="B814" s="16"/>
      <c r="C814" s="23"/>
      <c r="D814" s="24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8.75" customHeight="1" x14ac:dyDescent="0.2">
      <c r="A815" s="22"/>
      <c r="B815" s="16"/>
      <c r="C815" s="23"/>
      <c r="D815" s="24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8.75" customHeight="1" x14ac:dyDescent="0.2">
      <c r="A816" s="22"/>
      <c r="B816" s="16"/>
      <c r="C816" s="23"/>
      <c r="D816" s="24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8.75" customHeight="1" x14ac:dyDescent="0.2">
      <c r="A817" s="22"/>
      <c r="B817" s="16"/>
      <c r="C817" s="23"/>
      <c r="D817" s="24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8.75" customHeight="1" x14ac:dyDescent="0.2">
      <c r="A818" s="22"/>
      <c r="B818" s="16"/>
      <c r="C818" s="23"/>
      <c r="D818" s="24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8.75" customHeight="1" x14ac:dyDescent="0.2">
      <c r="A819" s="22"/>
      <c r="B819" s="16"/>
      <c r="C819" s="23"/>
      <c r="D819" s="24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8.75" customHeight="1" x14ac:dyDescent="0.2">
      <c r="A820" s="22"/>
      <c r="B820" s="16"/>
      <c r="C820" s="23"/>
      <c r="D820" s="24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8.75" customHeight="1" x14ac:dyDescent="0.2">
      <c r="A821" s="22"/>
      <c r="B821" s="16"/>
      <c r="C821" s="23"/>
      <c r="D821" s="24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8.75" customHeight="1" x14ac:dyDescent="0.2">
      <c r="A822" s="22"/>
      <c r="B822" s="16"/>
      <c r="C822" s="23"/>
      <c r="D822" s="24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8.75" customHeight="1" x14ac:dyDescent="0.2">
      <c r="A823" s="22"/>
      <c r="B823" s="16"/>
      <c r="C823" s="23"/>
      <c r="D823" s="24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8.75" customHeight="1" x14ac:dyDescent="0.2">
      <c r="A824" s="22"/>
      <c r="B824" s="16"/>
      <c r="C824" s="23"/>
      <c r="D824" s="24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8.75" customHeight="1" x14ac:dyDescent="0.2">
      <c r="A825" s="22"/>
      <c r="B825" s="16"/>
      <c r="C825" s="23"/>
      <c r="D825" s="24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8.75" customHeight="1" x14ac:dyDescent="0.2">
      <c r="A826" s="22"/>
      <c r="B826" s="16"/>
      <c r="C826" s="23"/>
      <c r="D826" s="24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8.75" customHeight="1" x14ac:dyDescent="0.2">
      <c r="A827" s="22"/>
      <c r="B827" s="16"/>
      <c r="C827" s="23"/>
      <c r="D827" s="24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8.75" customHeight="1" x14ac:dyDescent="0.2">
      <c r="A828" s="22"/>
      <c r="B828" s="16"/>
      <c r="C828" s="23"/>
      <c r="D828" s="24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8.75" customHeight="1" x14ac:dyDescent="0.2">
      <c r="A829" s="22"/>
      <c r="B829" s="16"/>
      <c r="C829" s="23"/>
      <c r="D829" s="24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8.75" customHeight="1" x14ac:dyDescent="0.2">
      <c r="A830" s="22"/>
      <c r="B830" s="16"/>
      <c r="C830" s="23"/>
      <c r="D830" s="24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8.75" customHeight="1" x14ac:dyDescent="0.2">
      <c r="A831" s="22"/>
      <c r="B831" s="16"/>
      <c r="C831" s="23"/>
      <c r="D831" s="24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8.75" customHeight="1" x14ac:dyDescent="0.2">
      <c r="A832" s="22"/>
      <c r="B832" s="16"/>
      <c r="C832" s="23"/>
      <c r="D832" s="24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8.75" customHeight="1" x14ac:dyDescent="0.2">
      <c r="A833" s="22"/>
      <c r="B833" s="16"/>
      <c r="C833" s="23"/>
      <c r="D833" s="24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8.75" customHeight="1" x14ac:dyDescent="0.2">
      <c r="A834" s="22"/>
      <c r="B834" s="16"/>
      <c r="C834" s="23"/>
      <c r="D834" s="24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8.75" customHeight="1" x14ac:dyDescent="0.2">
      <c r="A835" s="22"/>
      <c r="B835" s="16"/>
      <c r="C835" s="23"/>
      <c r="D835" s="24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8.75" customHeight="1" x14ac:dyDescent="0.2">
      <c r="A836" s="22"/>
      <c r="B836" s="16"/>
      <c r="C836" s="23"/>
      <c r="D836" s="24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8.75" customHeight="1" x14ac:dyDescent="0.2">
      <c r="A837" s="22"/>
      <c r="B837" s="16"/>
      <c r="C837" s="23"/>
      <c r="D837" s="24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8.75" customHeight="1" x14ac:dyDescent="0.2">
      <c r="A838" s="22"/>
      <c r="B838" s="16"/>
      <c r="C838" s="23"/>
      <c r="D838" s="24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8.75" customHeight="1" x14ac:dyDescent="0.2">
      <c r="A839" s="22"/>
      <c r="B839" s="16"/>
      <c r="C839" s="23"/>
      <c r="D839" s="24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8.75" customHeight="1" x14ac:dyDescent="0.2">
      <c r="A840" s="22"/>
      <c r="B840" s="16"/>
      <c r="C840" s="23"/>
      <c r="D840" s="24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8.75" customHeight="1" x14ac:dyDescent="0.2">
      <c r="A841" s="22"/>
      <c r="B841" s="16"/>
      <c r="C841" s="23"/>
      <c r="D841" s="24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8.75" customHeight="1" x14ac:dyDescent="0.2">
      <c r="A842" s="22"/>
      <c r="B842" s="16"/>
      <c r="C842" s="23"/>
      <c r="D842" s="24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8.75" customHeight="1" x14ac:dyDescent="0.2">
      <c r="A843" s="22"/>
      <c r="B843" s="16"/>
      <c r="C843" s="23"/>
      <c r="D843" s="24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8.75" customHeight="1" x14ac:dyDescent="0.2">
      <c r="A844" s="22"/>
      <c r="B844" s="16"/>
      <c r="C844" s="23"/>
      <c r="D844" s="24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8.75" customHeight="1" x14ac:dyDescent="0.2">
      <c r="A845" s="22"/>
      <c r="B845" s="16"/>
      <c r="C845" s="23"/>
      <c r="D845" s="24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8.75" customHeight="1" x14ac:dyDescent="0.2">
      <c r="A846" s="22"/>
      <c r="B846" s="16"/>
      <c r="C846" s="23"/>
      <c r="D846" s="24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8.75" customHeight="1" x14ac:dyDescent="0.2">
      <c r="A847" s="22"/>
      <c r="B847" s="16"/>
      <c r="C847" s="23"/>
      <c r="D847" s="24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8.75" customHeight="1" x14ac:dyDescent="0.2">
      <c r="A848" s="22"/>
      <c r="B848" s="16"/>
      <c r="C848" s="23"/>
      <c r="D848" s="24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8.75" customHeight="1" x14ac:dyDescent="0.2">
      <c r="A849" s="22"/>
      <c r="B849" s="16"/>
      <c r="C849" s="23"/>
      <c r="D849" s="24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8.75" customHeight="1" x14ac:dyDescent="0.2">
      <c r="A850" s="22"/>
      <c r="B850" s="16"/>
      <c r="C850" s="23"/>
      <c r="D850" s="24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8.75" customHeight="1" x14ac:dyDescent="0.2">
      <c r="A851" s="22"/>
      <c r="B851" s="16"/>
      <c r="C851" s="23"/>
      <c r="D851" s="24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8.75" customHeight="1" x14ac:dyDescent="0.2">
      <c r="A852" s="22"/>
      <c r="B852" s="16"/>
      <c r="C852" s="23"/>
      <c r="D852" s="24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8.75" customHeight="1" x14ac:dyDescent="0.2">
      <c r="A853" s="22"/>
      <c r="B853" s="16"/>
      <c r="C853" s="23"/>
      <c r="D853" s="24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8.75" customHeight="1" x14ac:dyDescent="0.2">
      <c r="A854" s="22"/>
      <c r="B854" s="16"/>
      <c r="C854" s="23"/>
      <c r="D854" s="24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8.75" customHeight="1" x14ac:dyDescent="0.2">
      <c r="A855" s="22"/>
      <c r="B855" s="16"/>
      <c r="C855" s="23"/>
      <c r="D855" s="24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8.75" customHeight="1" x14ac:dyDescent="0.2">
      <c r="A856" s="22"/>
      <c r="B856" s="16"/>
      <c r="C856" s="23"/>
      <c r="D856" s="24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8.75" customHeight="1" x14ac:dyDescent="0.2">
      <c r="A857" s="22"/>
      <c r="B857" s="16"/>
      <c r="C857" s="23"/>
      <c r="D857" s="24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8.75" customHeight="1" x14ac:dyDescent="0.2">
      <c r="A858" s="22"/>
      <c r="B858" s="16"/>
      <c r="C858" s="23"/>
      <c r="D858" s="24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8.75" customHeight="1" x14ac:dyDescent="0.2">
      <c r="A859" s="22"/>
      <c r="B859" s="16"/>
      <c r="C859" s="23"/>
      <c r="D859" s="24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8.75" customHeight="1" x14ac:dyDescent="0.2">
      <c r="A860" s="22"/>
      <c r="B860" s="16"/>
      <c r="C860" s="23"/>
      <c r="D860" s="24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8.75" customHeight="1" x14ac:dyDescent="0.2">
      <c r="A861" s="22"/>
      <c r="B861" s="16"/>
      <c r="C861" s="23"/>
      <c r="D861" s="24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8.75" customHeight="1" x14ac:dyDescent="0.2">
      <c r="A862" s="22"/>
      <c r="B862" s="16"/>
      <c r="C862" s="23"/>
      <c r="D862" s="24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8.75" customHeight="1" x14ac:dyDescent="0.2">
      <c r="A863" s="22"/>
      <c r="B863" s="16"/>
      <c r="C863" s="23"/>
      <c r="D863" s="24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8.75" customHeight="1" x14ac:dyDescent="0.2">
      <c r="A864" s="22"/>
      <c r="B864" s="16"/>
      <c r="C864" s="23"/>
      <c r="D864" s="24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8.75" customHeight="1" x14ac:dyDescent="0.2">
      <c r="A865" s="22"/>
      <c r="B865" s="16"/>
      <c r="C865" s="23"/>
      <c r="D865" s="24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8.75" customHeight="1" x14ac:dyDescent="0.2">
      <c r="A866" s="22"/>
      <c r="B866" s="16"/>
      <c r="C866" s="23"/>
      <c r="D866" s="24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8.75" customHeight="1" x14ac:dyDescent="0.2">
      <c r="A867" s="22"/>
      <c r="B867" s="16"/>
      <c r="C867" s="23"/>
      <c r="D867" s="24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8.75" customHeight="1" x14ac:dyDescent="0.2">
      <c r="A868" s="22"/>
      <c r="B868" s="16"/>
      <c r="C868" s="23"/>
      <c r="D868" s="24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8.75" customHeight="1" x14ac:dyDescent="0.2">
      <c r="A869" s="22"/>
      <c r="B869" s="16"/>
      <c r="C869" s="23"/>
      <c r="D869" s="24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8.75" customHeight="1" x14ac:dyDescent="0.2">
      <c r="A870" s="22"/>
      <c r="B870" s="16"/>
      <c r="C870" s="23"/>
      <c r="D870" s="24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8.75" customHeight="1" x14ac:dyDescent="0.2">
      <c r="A871" s="22"/>
      <c r="B871" s="16"/>
      <c r="C871" s="23"/>
      <c r="D871" s="24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8.75" customHeight="1" x14ac:dyDescent="0.2">
      <c r="A872" s="22"/>
      <c r="B872" s="16"/>
      <c r="C872" s="23"/>
      <c r="D872" s="24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8.75" customHeight="1" x14ac:dyDescent="0.2">
      <c r="A873" s="22"/>
      <c r="B873" s="16"/>
      <c r="C873" s="23"/>
      <c r="D873" s="24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8.75" customHeight="1" x14ac:dyDescent="0.2">
      <c r="A874" s="22"/>
      <c r="B874" s="16"/>
      <c r="C874" s="23"/>
      <c r="D874" s="24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8.75" customHeight="1" x14ac:dyDescent="0.2">
      <c r="A875" s="22"/>
      <c r="B875" s="16"/>
      <c r="C875" s="23"/>
      <c r="D875" s="24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8.75" customHeight="1" x14ac:dyDescent="0.2">
      <c r="A876" s="22"/>
      <c r="B876" s="16"/>
      <c r="C876" s="23"/>
      <c r="D876" s="24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8.75" customHeight="1" x14ac:dyDescent="0.2">
      <c r="A877" s="22"/>
      <c r="B877" s="16"/>
      <c r="C877" s="23"/>
      <c r="D877" s="24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8.75" customHeight="1" x14ac:dyDescent="0.2">
      <c r="A878" s="22"/>
      <c r="B878" s="16"/>
      <c r="C878" s="23"/>
      <c r="D878" s="24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8.75" customHeight="1" x14ac:dyDescent="0.2">
      <c r="A879" s="22"/>
      <c r="B879" s="16"/>
      <c r="C879" s="23"/>
      <c r="D879" s="24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8.75" customHeight="1" x14ac:dyDescent="0.2">
      <c r="A880" s="22"/>
      <c r="B880" s="16"/>
      <c r="C880" s="23"/>
      <c r="D880" s="24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8.75" customHeight="1" x14ac:dyDescent="0.2">
      <c r="A881" s="22"/>
      <c r="B881" s="16"/>
      <c r="C881" s="23"/>
      <c r="D881" s="24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8.75" customHeight="1" x14ac:dyDescent="0.2">
      <c r="A882" s="22"/>
      <c r="B882" s="16"/>
      <c r="C882" s="23"/>
      <c r="D882" s="24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8.75" customHeight="1" x14ac:dyDescent="0.2">
      <c r="A883" s="22"/>
      <c r="B883" s="16"/>
      <c r="C883" s="23"/>
      <c r="D883" s="24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8.75" customHeight="1" x14ac:dyDescent="0.2">
      <c r="A884" s="22"/>
      <c r="B884" s="16"/>
      <c r="C884" s="23"/>
      <c r="D884" s="24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8.75" customHeight="1" x14ac:dyDescent="0.2">
      <c r="A885" s="22"/>
      <c r="B885" s="16"/>
      <c r="C885" s="23"/>
      <c r="D885" s="24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8.75" customHeight="1" x14ac:dyDescent="0.2">
      <c r="A886" s="22"/>
      <c r="B886" s="16"/>
      <c r="C886" s="23"/>
      <c r="D886" s="24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8.75" customHeight="1" x14ac:dyDescent="0.2">
      <c r="A887" s="22"/>
      <c r="B887" s="16"/>
      <c r="C887" s="23"/>
      <c r="D887" s="24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8.75" customHeight="1" x14ac:dyDescent="0.2">
      <c r="A888" s="22"/>
      <c r="B888" s="16"/>
      <c r="C888" s="23"/>
      <c r="D888" s="24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8.75" customHeight="1" x14ac:dyDescent="0.2">
      <c r="A889" s="22"/>
      <c r="B889" s="16"/>
      <c r="C889" s="23"/>
      <c r="D889" s="24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8.75" customHeight="1" x14ac:dyDescent="0.2">
      <c r="A890" s="22"/>
      <c r="B890" s="16"/>
      <c r="C890" s="23"/>
      <c r="D890" s="24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8.75" customHeight="1" x14ac:dyDescent="0.2">
      <c r="A891" s="22"/>
      <c r="B891" s="16"/>
      <c r="C891" s="23"/>
      <c r="D891" s="24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8.75" customHeight="1" x14ac:dyDescent="0.2">
      <c r="A892" s="22"/>
      <c r="B892" s="16"/>
      <c r="C892" s="23"/>
      <c r="D892" s="24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8.75" customHeight="1" x14ac:dyDescent="0.2">
      <c r="A893" s="22"/>
      <c r="B893" s="16"/>
      <c r="C893" s="23"/>
      <c r="D893" s="24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8.75" customHeight="1" x14ac:dyDescent="0.2">
      <c r="A894" s="22"/>
      <c r="B894" s="16"/>
      <c r="C894" s="23"/>
      <c r="D894" s="24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8.75" customHeight="1" x14ac:dyDescent="0.2">
      <c r="A895" s="22"/>
      <c r="B895" s="16"/>
      <c r="C895" s="23"/>
      <c r="D895" s="24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8.75" customHeight="1" x14ac:dyDescent="0.2">
      <c r="A896" s="22"/>
      <c r="B896" s="16"/>
      <c r="C896" s="23"/>
      <c r="D896" s="24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8.75" customHeight="1" x14ac:dyDescent="0.2">
      <c r="A897" s="22"/>
      <c r="B897" s="16"/>
      <c r="C897" s="23"/>
      <c r="D897" s="24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8.75" customHeight="1" x14ac:dyDescent="0.2">
      <c r="A898" s="22"/>
      <c r="B898" s="16"/>
      <c r="C898" s="23"/>
      <c r="D898" s="24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8.75" customHeight="1" x14ac:dyDescent="0.2">
      <c r="A899" s="22"/>
      <c r="B899" s="16"/>
      <c r="C899" s="23"/>
      <c r="D899" s="24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8.75" customHeight="1" x14ac:dyDescent="0.2">
      <c r="A900" s="22"/>
      <c r="B900" s="16"/>
      <c r="C900" s="23"/>
      <c r="D900" s="24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8.75" customHeight="1" x14ac:dyDescent="0.2">
      <c r="A901" s="22"/>
      <c r="B901" s="16"/>
      <c r="C901" s="23"/>
      <c r="D901" s="24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8.75" customHeight="1" x14ac:dyDescent="0.2">
      <c r="A902" s="22"/>
      <c r="B902" s="16"/>
      <c r="C902" s="23"/>
      <c r="D902" s="24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8.75" customHeight="1" x14ac:dyDescent="0.2">
      <c r="A903" s="22"/>
      <c r="B903" s="16"/>
      <c r="C903" s="23"/>
      <c r="D903" s="24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8.75" customHeight="1" x14ac:dyDescent="0.2">
      <c r="A904" s="22"/>
      <c r="B904" s="16"/>
      <c r="C904" s="23"/>
      <c r="D904" s="24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8.75" customHeight="1" x14ac:dyDescent="0.2">
      <c r="A905" s="22"/>
      <c r="B905" s="16"/>
      <c r="C905" s="23"/>
      <c r="D905" s="24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8.75" customHeight="1" x14ac:dyDescent="0.2">
      <c r="A906" s="22"/>
      <c r="B906" s="16"/>
      <c r="C906" s="23"/>
      <c r="D906" s="24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8.75" customHeight="1" x14ac:dyDescent="0.2">
      <c r="A907" s="22"/>
      <c r="B907" s="16"/>
      <c r="C907" s="23"/>
      <c r="D907" s="24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8.75" customHeight="1" x14ac:dyDescent="0.2">
      <c r="A908" s="22"/>
      <c r="B908" s="16"/>
      <c r="C908" s="23"/>
      <c r="D908" s="24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8.75" customHeight="1" x14ac:dyDescent="0.2">
      <c r="A909" s="22"/>
      <c r="B909" s="16"/>
      <c r="C909" s="23"/>
      <c r="D909" s="24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8.75" customHeight="1" x14ac:dyDescent="0.2">
      <c r="A910" s="22"/>
      <c r="B910" s="16"/>
      <c r="C910" s="23"/>
      <c r="D910" s="24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8.75" customHeight="1" x14ac:dyDescent="0.2">
      <c r="A911" s="22"/>
      <c r="B911" s="16"/>
      <c r="C911" s="23"/>
      <c r="D911" s="24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8.75" customHeight="1" x14ac:dyDescent="0.2">
      <c r="A912" s="22"/>
      <c r="B912" s="16"/>
      <c r="C912" s="23"/>
      <c r="D912" s="24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8.75" customHeight="1" x14ac:dyDescent="0.2">
      <c r="A913" s="22"/>
      <c r="B913" s="16"/>
      <c r="C913" s="23"/>
      <c r="D913" s="24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8.75" customHeight="1" x14ac:dyDescent="0.2">
      <c r="A914" s="22"/>
      <c r="B914" s="16"/>
      <c r="C914" s="23"/>
      <c r="D914" s="24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8.75" customHeight="1" x14ac:dyDescent="0.2">
      <c r="A915" s="22"/>
      <c r="B915" s="16"/>
      <c r="C915" s="23"/>
      <c r="D915" s="24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8.75" customHeight="1" x14ac:dyDescent="0.2">
      <c r="A916" s="22"/>
      <c r="B916" s="16"/>
      <c r="C916" s="23"/>
      <c r="D916" s="24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8.75" customHeight="1" x14ac:dyDescent="0.2">
      <c r="A917" s="22"/>
      <c r="B917" s="16"/>
      <c r="C917" s="23"/>
      <c r="D917" s="24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8.75" customHeight="1" x14ac:dyDescent="0.2">
      <c r="A918" s="22"/>
      <c r="B918" s="16"/>
      <c r="C918" s="23"/>
      <c r="D918" s="24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8.75" customHeight="1" x14ac:dyDescent="0.2">
      <c r="A919" s="22"/>
      <c r="B919" s="16"/>
      <c r="C919" s="23"/>
      <c r="D919" s="24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8.75" customHeight="1" x14ac:dyDescent="0.2">
      <c r="A920" s="22"/>
      <c r="B920" s="16"/>
      <c r="C920" s="23"/>
      <c r="D920" s="24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8.75" customHeight="1" x14ac:dyDescent="0.2">
      <c r="A921" s="22"/>
      <c r="B921" s="16"/>
      <c r="C921" s="23"/>
      <c r="D921" s="24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8.75" customHeight="1" x14ac:dyDescent="0.2">
      <c r="A922" s="22"/>
      <c r="B922" s="16"/>
      <c r="C922" s="23"/>
      <c r="D922" s="24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8.75" customHeight="1" x14ac:dyDescent="0.2">
      <c r="A923" s="22"/>
      <c r="B923" s="16"/>
      <c r="C923" s="23"/>
      <c r="D923" s="24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8.75" customHeight="1" x14ac:dyDescent="0.2">
      <c r="A924" s="22"/>
      <c r="B924" s="16"/>
      <c r="C924" s="23"/>
      <c r="D924" s="24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8.75" customHeight="1" x14ac:dyDescent="0.2">
      <c r="A925" s="22"/>
      <c r="B925" s="16"/>
      <c r="C925" s="23"/>
      <c r="D925" s="24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8.75" customHeight="1" x14ac:dyDescent="0.2">
      <c r="A926" s="22"/>
      <c r="B926" s="16"/>
      <c r="C926" s="23"/>
      <c r="D926" s="24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8.75" customHeight="1" x14ac:dyDescent="0.2">
      <c r="A927" s="22"/>
      <c r="B927" s="16"/>
      <c r="C927" s="23"/>
      <c r="D927" s="24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8.75" customHeight="1" x14ac:dyDescent="0.2">
      <c r="A928" s="22"/>
      <c r="B928" s="16"/>
      <c r="C928" s="23"/>
      <c r="D928" s="24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8.75" customHeight="1" x14ac:dyDescent="0.2">
      <c r="A929" s="22"/>
      <c r="B929" s="16"/>
      <c r="C929" s="23"/>
      <c r="D929" s="24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8.75" customHeight="1" x14ac:dyDescent="0.2">
      <c r="A930" s="22"/>
      <c r="B930" s="16"/>
      <c r="C930" s="23"/>
      <c r="D930" s="24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8.75" customHeight="1" x14ac:dyDescent="0.2">
      <c r="A931" s="22"/>
      <c r="B931" s="16"/>
      <c r="C931" s="23"/>
      <c r="D931" s="24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8.75" customHeight="1" x14ac:dyDescent="0.2">
      <c r="A932" s="22"/>
      <c r="B932" s="16"/>
      <c r="C932" s="23"/>
      <c r="D932" s="24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8.75" customHeight="1" x14ac:dyDescent="0.2">
      <c r="A933" s="22"/>
      <c r="B933" s="16"/>
      <c r="C933" s="23"/>
      <c r="D933" s="24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8.75" customHeight="1" x14ac:dyDescent="0.2">
      <c r="A934" s="22"/>
      <c r="B934" s="16"/>
      <c r="C934" s="23"/>
      <c r="D934" s="24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8.75" customHeight="1" x14ac:dyDescent="0.2">
      <c r="A935" s="22"/>
      <c r="B935" s="16"/>
      <c r="C935" s="23"/>
      <c r="D935" s="24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8.75" customHeight="1" x14ac:dyDescent="0.2">
      <c r="A936" s="22"/>
      <c r="B936" s="16"/>
      <c r="C936" s="23"/>
      <c r="D936" s="24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8.75" customHeight="1" x14ac:dyDescent="0.2">
      <c r="A937" s="22"/>
      <c r="B937" s="16"/>
      <c r="C937" s="23"/>
      <c r="D937" s="24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8.75" customHeight="1" x14ac:dyDescent="0.2">
      <c r="A938" s="22"/>
      <c r="B938" s="16"/>
      <c r="C938" s="23"/>
      <c r="D938" s="24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8.75" customHeight="1" x14ac:dyDescent="0.2">
      <c r="A939" s="22"/>
      <c r="B939" s="16"/>
      <c r="C939" s="23"/>
      <c r="D939" s="24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8.75" customHeight="1" x14ac:dyDescent="0.2">
      <c r="A940" s="22"/>
      <c r="B940" s="16"/>
      <c r="C940" s="23"/>
      <c r="D940" s="24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8.75" customHeight="1" x14ac:dyDescent="0.2">
      <c r="A941" s="22"/>
      <c r="B941" s="16"/>
      <c r="C941" s="23"/>
      <c r="D941" s="24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8.75" customHeight="1" x14ac:dyDescent="0.2">
      <c r="A942" s="22"/>
      <c r="B942" s="16"/>
      <c r="C942" s="23"/>
      <c r="D942" s="24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8.75" customHeight="1" x14ac:dyDescent="0.2">
      <c r="A943" s="22"/>
      <c r="B943" s="16"/>
      <c r="C943" s="23"/>
      <c r="D943" s="24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8.75" customHeight="1" x14ac:dyDescent="0.2">
      <c r="A944" s="22"/>
      <c r="B944" s="16"/>
      <c r="C944" s="23"/>
      <c r="D944" s="24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8.75" customHeight="1" x14ac:dyDescent="0.2">
      <c r="A945" s="22"/>
      <c r="B945" s="16"/>
      <c r="C945" s="23"/>
      <c r="D945" s="24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8.75" customHeight="1" x14ac:dyDescent="0.2">
      <c r="A946" s="22"/>
      <c r="B946" s="16"/>
      <c r="C946" s="23"/>
      <c r="D946" s="24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8.75" customHeight="1" x14ac:dyDescent="0.2">
      <c r="A947" s="22"/>
      <c r="B947" s="16"/>
      <c r="C947" s="23"/>
      <c r="D947" s="24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8.75" customHeight="1" x14ac:dyDescent="0.2">
      <c r="A948" s="22"/>
      <c r="B948" s="16"/>
      <c r="C948" s="23"/>
      <c r="D948" s="24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8.75" customHeight="1" x14ac:dyDescent="0.2">
      <c r="A949" s="22"/>
      <c r="B949" s="16"/>
      <c r="C949" s="23"/>
      <c r="D949" s="24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8.75" customHeight="1" x14ac:dyDescent="0.2">
      <c r="A950" s="22"/>
      <c r="B950" s="16"/>
      <c r="C950" s="23"/>
      <c r="D950" s="24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8.75" customHeight="1" x14ac:dyDescent="0.2">
      <c r="A951" s="22"/>
      <c r="B951" s="16"/>
      <c r="C951" s="23"/>
      <c r="D951" s="24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8.75" customHeight="1" x14ac:dyDescent="0.2">
      <c r="A952" s="22"/>
      <c r="B952" s="16"/>
      <c r="C952" s="23"/>
      <c r="D952" s="24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8.75" customHeight="1" x14ac:dyDescent="0.2">
      <c r="A953" s="22"/>
      <c r="B953" s="16"/>
      <c r="C953" s="23"/>
      <c r="D953" s="24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8.75" customHeight="1" x14ac:dyDescent="0.2">
      <c r="A954" s="22"/>
      <c r="B954" s="16"/>
      <c r="C954" s="23"/>
      <c r="D954" s="24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8.75" customHeight="1" x14ac:dyDescent="0.2">
      <c r="A955" s="22"/>
      <c r="B955" s="16"/>
      <c r="C955" s="23"/>
      <c r="D955" s="24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8.75" customHeight="1" x14ac:dyDescent="0.2">
      <c r="A956" s="22"/>
      <c r="B956" s="16"/>
      <c r="C956" s="23"/>
      <c r="D956" s="24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8.75" customHeight="1" x14ac:dyDescent="0.2">
      <c r="A957" s="22"/>
      <c r="B957" s="16"/>
      <c r="C957" s="23"/>
      <c r="D957" s="24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8.75" customHeight="1" x14ac:dyDescent="0.2">
      <c r="A958" s="22"/>
      <c r="B958" s="16"/>
      <c r="C958" s="23"/>
      <c r="D958" s="24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8.75" customHeight="1" x14ac:dyDescent="0.2">
      <c r="A959" s="22"/>
      <c r="B959" s="16"/>
      <c r="C959" s="23"/>
      <c r="D959" s="24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8.75" customHeight="1" x14ac:dyDescent="0.2">
      <c r="A960" s="22"/>
      <c r="B960" s="16"/>
      <c r="C960" s="23"/>
      <c r="D960" s="24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8.75" customHeight="1" x14ac:dyDescent="0.2">
      <c r="A961" s="22"/>
      <c r="B961" s="16"/>
      <c r="C961" s="23"/>
      <c r="D961" s="24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8.75" customHeight="1" x14ac:dyDescent="0.2">
      <c r="A962" s="22"/>
      <c r="B962" s="16"/>
      <c r="C962" s="23"/>
      <c r="D962" s="24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8.75" customHeight="1" x14ac:dyDescent="0.2">
      <c r="A963" s="22"/>
      <c r="B963" s="16"/>
      <c r="C963" s="23"/>
      <c r="D963" s="24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8.75" customHeight="1" x14ac:dyDescent="0.2">
      <c r="A964" s="22"/>
      <c r="B964" s="16"/>
      <c r="C964" s="23"/>
      <c r="D964" s="24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8.75" customHeight="1" x14ac:dyDescent="0.2">
      <c r="A965" s="22"/>
      <c r="B965" s="16"/>
      <c r="C965" s="23"/>
      <c r="D965" s="24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8.75" customHeight="1" x14ac:dyDescent="0.2">
      <c r="A966" s="22"/>
      <c r="B966" s="16"/>
      <c r="C966" s="23"/>
      <c r="D966" s="24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8.75" customHeight="1" x14ac:dyDescent="0.2">
      <c r="A967" s="22"/>
      <c r="B967" s="16"/>
      <c r="C967" s="23"/>
      <c r="D967" s="24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8.75" customHeight="1" x14ac:dyDescent="0.2">
      <c r="A968" s="22"/>
      <c r="B968" s="16"/>
      <c r="C968" s="23"/>
      <c r="D968" s="24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8.75" customHeight="1" x14ac:dyDescent="0.2">
      <c r="A969" s="22"/>
      <c r="B969" s="16"/>
      <c r="C969" s="23"/>
      <c r="D969" s="24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8.75" customHeight="1" x14ac:dyDescent="0.2">
      <c r="A970" s="22"/>
      <c r="B970" s="16"/>
      <c r="C970" s="23"/>
      <c r="D970" s="24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8.75" customHeight="1" x14ac:dyDescent="0.2">
      <c r="A971" s="22"/>
      <c r="B971" s="16"/>
      <c r="C971" s="23"/>
      <c r="D971" s="24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8.75" customHeight="1" x14ac:dyDescent="0.2">
      <c r="A972" s="22"/>
      <c r="B972" s="16"/>
      <c r="C972" s="23"/>
      <c r="D972" s="24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8.75" customHeight="1" x14ac:dyDescent="0.2">
      <c r="A973" s="22"/>
      <c r="B973" s="16"/>
      <c r="C973" s="23"/>
      <c r="D973" s="24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8.75" customHeight="1" x14ac:dyDescent="0.2">
      <c r="A974" s="22"/>
      <c r="B974" s="16"/>
      <c r="C974" s="23"/>
      <c r="D974" s="24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8.75" customHeight="1" x14ac:dyDescent="0.2">
      <c r="A975" s="22"/>
      <c r="B975" s="16"/>
      <c r="C975" s="23"/>
      <c r="D975" s="24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8.75" customHeight="1" x14ac:dyDescent="0.2">
      <c r="A976" s="22"/>
      <c r="B976" s="16"/>
      <c r="C976" s="23"/>
      <c r="D976" s="24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8.75" customHeight="1" x14ac:dyDescent="0.2">
      <c r="A977" s="22"/>
      <c r="B977" s="16"/>
      <c r="C977" s="23"/>
      <c r="D977" s="24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8.75" customHeight="1" x14ac:dyDescent="0.2">
      <c r="A978" s="22"/>
      <c r="B978" s="16"/>
      <c r="C978" s="23"/>
      <c r="D978" s="24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8.75" customHeight="1" x14ac:dyDescent="0.2">
      <c r="A979" s="22"/>
      <c r="B979" s="16"/>
      <c r="C979" s="23"/>
      <c r="D979" s="24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8.75" customHeight="1" x14ac:dyDescent="0.2">
      <c r="A980" s="22"/>
      <c r="B980" s="16"/>
      <c r="C980" s="23"/>
      <c r="D980" s="24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8.75" customHeight="1" x14ac:dyDescent="0.2">
      <c r="A981" s="22"/>
      <c r="B981" s="16"/>
      <c r="C981" s="23"/>
      <c r="D981" s="24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8.75" customHeight="1" x14ac:dyDescent="0.2">
      <c r="A982" s="22"/>
      <c r="B982" s="16"/>
      <c r="C982" s="23"/>
      <c r="D982" s="24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8.75" customHeight="1" x14ac:dyDescent="0.2">
      <c r="A983" s="22"/>
      <c r="B983" s="16"/>
      <c r="C983" s="23"/>
      <c r="D983" s="24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8.75" customHeight="1" x14ac:dyDescent="0.2">
      <c r="A984" s="22"/>
      <c r="B984" s="16"/>
      <c r="C984" s="23"/>
      <c r="D984" s="24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8.75" customHeight="1" x14ac:dyDescent="0.2">
      <c r="A985" s="22"/>
      <c r="B985" s="16"/>
      <c r="C985" s="23"/>
      <c r="D985" s="24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8.75" customHeight="1" x14ac:dyDescent="0.2">
      <c r="A986" s="22"/>
      <c r="B986" s="16"/>
      <c r="C986" s="23"/>
      <c r="D986" s="24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8.75" customHeight="1" x14ac:dyDescent="0.2">
      <c r="A987" s="22"/>
      <c r="B987" s="16"/>
      <c r="C987" s="23"/>
      <c r="D987" s="24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8.75" customHeight="1" x14ac:dyDescent="0.2">
      <c r="A988" s="22"/>
      <c r="B988" s="16"/>
      <c r="C988" s="23"/>
      <c r="D988" s="24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8.75" customHeight="1" x14ac:dyDescent="0.2">
      <c r="A989" s="22"/>
      <c r="B989" s="16"/>
      <c r="C989" s="23"/>
      <c r="D989" s="24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8.75" customHeight="1" x14ac:dyDescent="0.2">
      <c r="A990" s="22"/>
      <c r="B990" s="16"/>
      <c r="C990" s="23"/>
      <c r="D990" s="24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8.75" customHeight="1" x14ac:dyDescent="0.2">
      <c r="A991" s="22"/>
      <c r="B991" s="16"/>
      <c r="C991" s="23"/>
      <c r="D991" s="24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8.75" customHeight="1" x14ac:dyDescent="0.2">
      <c r="A992" s="22"/>
      <c r="B992" s="16"/>
      <c r="C992" s="23"/>
      <c r="D992" s="24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8.75" customHeight="1" x14ac:dyDescent="0.2">
      <c r="A993" s="22"/>
      <c r="B993" s="16"/>
      <c r="C993" s="23"/>
      <c r="D993" s="24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8.75" customHeight="1" x14ac:dyDescent="0.2">
      <c r="A994" s="22"/>
      <c r="B994" s="16"/>
      <c r="C994" s="23"/>
      <c r="D994" s="24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8.75" customHeight="1" x14ac:dyDescent="0.2">
      <c r="A995" s="22"/>
      <c r="B995" s="16"/>
      <c r="C995" s="23"/>
      <c r="D995" s="24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8.75" customHeight="1" x14ac:dyDescent="0.2">
      <c r="A996" s="22"/>
      <c r="B996" s="16"/>
      <c r="C996" s="23"/>
      <c r="D996" s="24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8.75" customHeight="1" x14ac:dyDescent="0.2">
      <c r="A997" s="22"/>
      <c r="B997" s="16"/>
      <c r="C997" s="23"/>
      <c r="D997" s="24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8.75" customHeight="1" x14ac:dyDescent="0.2">
      <c r="A998" s="22"/>
      <c r="B998" s="16"/>
      <c r="C998" s="23"/>
      <c r="D998" s="24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8.75" customHeight="1" x14ac:dyDescent="0.2">
      <c r="A999" s="22"/>
      <c r="B999" s="16"/>
      <c r="C999" s="23"/>
      <c r="D999" s="24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8.75" customHeight="1" x14ac:dyDescent="0.2">
      <c r="A1000" s="22"/>
      <c r="B1000" s="16"/>
      <c r="C1000" s="23"/>
      <c r="D1000" s="24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39">
    <mergeCell ref="A1:B2"/>
    <mergeCell ref="C1:P1"/>
    <mergeCell ref="Q1:R1"/>
    <mergeCell ref="C2:P2"/>
    <mergeCell ref="Q2:R2"/>
    <mergeCell ref="C4:R4"/>
    <mergeCell ref="A5:R5"/>
    <mergeCell ref="N6:P6"/>
    <mergeCell ref="N7:P7"/>
    <mergeCell ref="D8:R8"/>
    <mergeCell ref="J9:R9"/>
    <mergeCell ref="J10:R10"/>
    <mergeCell ref="A6:D6"/>
    <mergeCell ref="E6:H6"/>
    <mergeCell ref="I6:M6"/>
    <mergeCell ref="Q6:R6"/>
    <mergeCell ref="Q7:R7"/>
    <mergeCell ref="I7:M7"/>
    <mergeCell ref="E7:H7"/>
    <mergeCell ref="A7:D7"/>
    <mergeCell ref="A8:C8"/>
    <mergeCell ref="A9:I9"/>
    <mergeCell ref="A10:I10"/>
    <mergeCell ref="B11:D11"/>
    <mergeCell ref="B12:D12"/>
    <mergeCell ref="B13:D13"/>
    <mergeCell ref="A23:C23"/>
    <mergeCell ref="D23:J23"/>
    <mergeCell ref="A24:C24"/>
    <mergeCell ref="D24:J24"/>
    <mergeCell ref="A25:C25"/>
    <mergeCell ref="D25:J25"/>
    <mergeCell ref="B14:D14"/>
    <mergeCell ref="B15:D15"/>
    <mergeCell ref="B16:D16"/>
    <mergeCell ref="B17:D17"/>
    <mergeCell ref="A21:J21"/>
    <mergeCell ref="A22:C22"/>
    <mergeCell ref="D22:J22"/>
  </mergeCells>
  <printOptions horizontalCentered="1"/>
  <pageMargins left="0.70866141732283472" right="0.70866141732283472" top="0.74803149606299213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1000"/>
  <sheetViews>
    <sheetView topLeftCell="A6" zoomScale="50" zoomScaleNormal="50" workbookViewId="0">
      <selection activeCell="E12" sqref="E12:E13"/>
    </sheetView>
  </sheetViews>
  <sheetFormatPr baseColWidth="10" defaultColWidth="10.140625" defaultRowHeight="15" customHeight="1" x14ac:dyDescent="0.2"/>
  <cols>
    <col min="1" max="1" width="11" customWidth="1"/>
    <col min="2" max="2" width="101.42578125" customWidth="1"/>
    <col min="3" max="3" width="28.42578125" customWidth="1"/>
    <col min="4" max="4" width="38.140625" customWidth="1"/>
    <col min="5" max="5" width="14.85546875" customWidth="1"/>
    <col min="6" max="6" width="15.85546875" customWidth="1"/>
    <col min="7" max="7" width="15.140625" customWidth="1"/>
    <col min="8" max="8" width="13.140625" customWidth="1"/>
    <col min="9" max="9" width="17.140625" customWidth="1"/>
    <col min="10" max="10" width="19.85546875" customWidth="1"/>
    <col min="11" max="13" width="20.85546875" customWidth="1"/>
    <col min="14" max="14" width="26.140625" customWidth="1"/>
    <col min="15" max="16" width="22.85546875" customWidth="1"/>
    <col min="17" max="17" width="19.140625" customWidth="1"/>
    <col min="18" max="18" width="22.85546875" customWidth="1"/>
    <col min="19" max="27" width="11" customWidth="1"/>
  </cols>
  <sheetData>
    <row r="1" spans="1:27" ht="34.5" customHeight="1" x14ac:dyDescent="0.2">
      <c r="A1" s="149"/>
      <c r="B1" s="150"/>
      <c r="C1" s="153" t="s">
        <v>0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2"/>
      <c r="Q1" s="153" t="s">
        <v>1</v>
      </c>
      <c r="R1" s="132"/>
      <c r="S1" s="16"/>
      <c r="T1" s="16"/>
      <c r="U1" s="16"/>
      <c r="V1" s="16"/>
      <c r="W1" s="16"/>
      <c r="X1" s="16"/>
      <c r="Y1" s="16"/>
      <c r="Z1" s="16"/>
      <c r="AA1" s="16"/>
    </row>
    <row r="2" spans="1:27" ht="324.5" customHeight="1" x14ac:dyDescent="0.2">
      <c r="A2" s="151"/>
      <c r="B2" s="152"/>
      <c r="C2" s="153" t="s">
        <v>2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53" t="s">
        <v>3</v>
      </c>
      <c r="R2" s="132"/>
      <c r="S2" s="16"/>
      <c r="T2" s="16"/>
      <c r="U2" s="16"/>
      <c r="V2" s="16"/>
      <c r="W2" s="16"/>
      <c r="X2" s="16"/>
      <c r="Y2" s="16"/>
      <c r="Z2" s="16"/>
      <c r="AA2" s="16"/>
    </row>
    <row r="3" spans="1:27" ht="30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6"/>
      <c r="T3" s="16"/>
      <c r="U3" s="16"/>
      <c r="V3" s="16"/>
      <c r="W3" s="16"/>
      <c r="X3" s="16"/>
      <c r="Y3" s="16"/>
      <c r="Z3" s="16"/>
      <c r="AA3" s="16"/>
    </row>
    <row r="4" spans="1:27" ht="30" customHeight="1" x14ac:dyDescent="0.2">
      <c r="A4" s="31" t="s">
        <v>4</v>
      </c>
      <c r="B4" s="3"/>
      <c r="C4" s="190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2"/>
      <c r="S4" s="16"/>
      <c r="T4" s="16"/>
      <c r="U4" s="16"/>
      <c r="V4" s="16"/>
      <c r="W4" s="16"/>
      <c r="X4" s="16"/>
      <c r="Y4" s="16"/>
      <c r="Z4" s="16"/>
      <c r="AA4" s="16"/>
    </row>
    <row r="5" spans="1:27" ht="30" customHeight="1" x14ac:dyDescent="0.2">
      <c r="A5" s="146" t="s">
        <v>5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2"/>
      <c r="S5" s="16"/>
      <c r="T5" s="16"/>
      <c r="U5" s="16"/>
      <c r="V5" s="16"/>
      <c r="W5" s="16"/>
      <c r="X5" s="16"/>
      <c r="Y5" s="16"/>
      <c r="Z5" s="16"/>
      <c r="AA5" s="16"/>
    </row>
    <row r="6" spans="1:27" ht="30" customHeight="1" x14ac:dyDescent="0.2">
      <c r="A6" s="177" t="s">
        <v>6</v>
      </c>
      <c r="B6" s="131"/>
      <c r="C6" s="131"/>
      <c r="D6" s="132"/>
      <c r="E6" s="177" t="s">
        <v>7</v>
      </c>
      <c r="F6" s="131"/>
      <c r="G6" s="131"/>
      <c r="H6" s="132"/>
      <c r="I6" s="177" t="s">
        <v>8</v>
      </c>
      <c r="J6" s="131"/>
      <c r="K6" s="131"/>
      <c r="L6" s="131"/>
      <c r="M6" s="132"/>
      <c r="N6" s="177" t="s">
        <v>9</v>
      </c>
      <c r="O6" s="131"/>
      <c r="P6" s="132"/>
      <c r="Q6" s="177" t="s">
        <v>10</v>
      </c>
      <c r="R6" s="132"/>
      <c r="S6" s="16"/>
      <c r="T6" s="16"/>
      <c r="U6" s="16"/>
      <c r="V6" s="16"/>
      <c r="W6" s="16"/>
      <c r="X6" s="16"/>
      <c r="Y6" s="16"/>
      <c r="Z6" s="16"/>
      <c r="AA6" s="16"/>
    </row>
    <row r="7" spans="1:27" ht="142.25" customHeight="1" x14ac:dyDescent="0.2">
      <c r="A7" s="139">
        <f>'DOCUMENTO INTERNO'!A7:D7</f>
        <v>0</v>
      </c>
      <c r="B7" s="140"/>
      <c r="C7" s="140"/>
      <c r="D7" s="141"/>
      <c r="E7" s="139">
        <f>'DOCUMENTO INTERNO'!E7:H7</f>
        <v>0</v>
      </c>
      <c r="F7" s="140"/>
      <c r="G7" s="140"/>
      <c r="H7" s="141"/>
      <c r="I7" s="139">
        <f>'DOCUMENTO INTERNO'!I7:M7</f>
        <v>0</v>
      </c>
      <c r="J7" s="140"/>
      <c r="K7" s="140"/>
      <c r="L7" s="140"/>
      <c r="M7" s="141"/>
      <c r="N7" s="147">
        <f>'DOCUMENTO INTERNO'!N7:P7</f>
        <v>0</v>
      </c>
      <c r="O7" s="140"/>
      <c r="P7" s="141"/>
      <c r="Q7" s="138"/>
      <c r="R7" s="132"/>
      <c r="S7" s="16"/>
      <c r="T7" s="16"/>
      <c r="U7" s="16"/>
      <c r="V7" s="16"/>
      <c r="W7" s="16"/>
      <c r="X7" s="16"/>
      <c r="Y7" s="16"/>
      <c r="Z7" s="16"/>
      <c r="AA7" s="16"/>
    </row>
    <row r="8" spans="1:27" ht="30" customHeight="1" x14ac:dyDescent="0.2">
      <c r="A8" s="130" t="s">
        <v>11</v>
      </c>
      <c r="B8" s="131"/>
      <c r="C8" s="132"/>
      <c r="D8" s="153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2"/>
      <c r="S8" s="16"/>
      <c r="T8" s="16"/>
      <c r="U8" s="16"/>
      <c r="V8" s="16"/>
      <c r="W8" s="16"/>
      <c r="X8" s="16"/>
      <c r="Y8" s="16"/>
      <c r="Z8" s="16"/>
      <c r="AA8" s="16"/>
    </row>
    <row r="9" spans="1:27" ht="30" customHeight="1" x14ac:dyDescent="0.2">
      <c r="A9" s="130" t="s">
        <v>12</v>
      </c>
      <c r="B9" s="131"/>
      <c r="C9" s="131"/>
      <c r="D9" s="131"/>
      <c r="E9" s="131"/>
      <c r="F9" s="131"/>
      <c r="G9" s="131"/>
      <c r="H9" s="131"/>
      <c r="I9" s="132"/>
      <c r="J9" s="130" t="s">
        <v>13</v>
      </c>
      <c r="K9" s="131"/>
      <c r="L9" s="131"/>
      <c r="M9" s="131"/>
      <c r="N9" s="131"/>
      <c r="O9" s="131"/>
      <c r="P9" s="131"/>
      <c r="Q9" s="131"/>
      <c r="R9" s="132"/>
      <c r="S9" s="16"/>
      <c r="T9" s="16"/>
      <c r="U9" s="16"/>
      <c r="V9" s="16"/>
      <c r="W9" s="16"/>
      <c r="X9" s="16"/>
      <c r="Y9" s="16"/>
      <c r="Z9" s="16"/>
      <c r="AA9" s="16"/>
    </row>
    <row r="10" spans="1:27" ht="30" customHeight="1" x14ac:dyDescent="0.2">
      <c r="A10" s="133">
        <f>+MATRICES!$A$10</f>
        <v>0</v>
      </c>
      <c r="B10" s="131"/>
      <c r="C10" s="131"/>
      <c r="D10" s="131"/>
      <c r="E10" s="131"/>
      <c r="F10" s="131"/>
      <c r="G10" s="131"/>
      <c r="H10" s="131"/>
      <c r="I10" s="132"/>
      <c r="J10" s="134"/>
      <c r="K10" s="131"/>
      <c r="L10" s="131"/>
      <c r="M10" s="131"/>
      <c r="N10" s="131"/>
      <c r="O10" s="131"/>
      <c r="P10" s="131"/>
      <c r="Q10" s="131"/>
      <c r="R10" s="132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4.5" customHeight="1" x14ac:dyDescent="0.2">
      <c r="A11" s="4" t="s">
        <v>14</v>
      </c>
      <c r="B11" s="130" t="s">
        <v>15</v>
      </c>
      <c r="C11" s="131"/>
      <c r="D11" s="132"/>
      <c r="E11" s="5" t="s">
        <v>16</v>
      </c>
      <c r="F11" s="5" t="s">
        <v>17</v>
      </c>
      <c r="G11" s="5" t="s">
        <v>18</v>
      </c>
      <c r="H11" s="4" t="s">
        <v>19</v>
      </c>
      <c r="I11" s="4" t="s">
        <v>20</v>
      </c>
      <c r="J11" s="4" t="s">
        <v>21</v>
      </c>
      <c r="K11" s="6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Q11" s="4" t="s">
        <v>28</v>
      </c>
      <c r="R11" s="4" t="s">
        <v>29</v>
      </c>
      <c r="S11" s="2"/>
      <c r="T11" s="2"/>
      <c r="U11" s="2"/>
      <c r="V11" s="2"/>
      <c r="W11" s="2"/>
      <c r="X11" s="2"/>
      <c r="Y11" s="2"/>
      <c r="Z11" s="2"/>
      <c r="AA11" s="2"/>
    </row>
    <row r="12" spans="1:27" ht="30" customHeight="1" x14ac:dyDescent="0.2">
      <c r="A12" s="18">
        <v>1</v>
      </c>
      <c r="B12" s="189" t="s">
        <v>324</v>
      </c>
      <c r="C12" s="123"/>
      <c r="D12" s="124"/>
      <c r="E12" s="8" t="s">
        <v>458</v>
      </c>
      <c r="F12" s="8" t="s">
        <v>325</v>
      </c>
      <c r="G12" s="9" t="s">
        <v>33</v>
      </c>
      <c r="H12" s="10" t="s">
        <v>34</v>
      </c>
      <c r="I12" s="8" t="s">
        <v>35</v>
      </c>
      <c r="J12" s="49"/>
      <c r="K12" s="11" t="s">
        <v>326</v>
      </c>
      <c r="L12" s="8" t="s">
        <v>327</v>
      </c>
      <c r="M12" s="8" t="s">
        <v>328</v>
      </c>
      <c r="N12" s="11" t="s">
        <v>38</v>
      </c>
      <c r="O12" s="11" t="s">
        <v>91</v>
      </c>
      <c r="P12" s="8" t="s">
        <v>40</v>
      </c>
      <c r="Q12" s="8" t="s">
        <v>41</v>
      </c>
      <c r="R12" s="52" t="s">
        <v>394</v>
      </c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0" customHeight="1" x14ac:dyDescent="0.2">
      <c r="A13" s="18">
        <v>2</v>
      </c>
      <c r="B13" s="189" t="s">
        <v>329</v>
      </c>
      <c r="C13" s="123"/>
      <c r="D13" s="124"/>
      <c r="E13" s="8" t="s">
        <v>458</v>
      </c>
      <c r="F13" s="8" t="s">
        <v>325</v>
      </c>
      <c r="G13" s="9" t="s">
        <v>33</v>
      </c>
      <c r="H13" s="10" t="s">
        <v>34</v>
      </c>
      <c r="I13" s="8" t="s">
        <v>35</v>
      </c>
      <c r="J13" s="49"/>
      <c r="K13" s="11" t="s">
        <v>58</v>
      </c>
      <c r="L13" s="8" t="s">
        <v>59</v>
      </c>
      <c r="M13" s="11" t="s">
        <v>65</v>
      </c>
      <c r="N13" s="11" t="s">
        <v>38</v>
      </c>
      <c r="O13" s="11" t="s">
        <v>91</v>
      </c>
      <c r="P13" s="8" t="s">
        <v>40</v>
      </c>
      <c r="Q13" s="8" t="s">
        <v>41</v>
      </c>
      <c r="R13" s="52" t="s">
        <v>394</v>
      </c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8.75" customHeight="1" x14ac:dyDescent="0.2">
      <c r="A14" s="22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8.75" customHeight="1" x14ac:dyDescent="0.2">
      <c r="A15" s="22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9.75" customHeight="1" thickBot="1" x14ac:dyDescent="0.25">
      <c r="A16" s="157" t="s">
        <v>83</v>
      </c>
      <c r="B16" s="155"/>
      <c r="C16" s="155"/>
      <c r="D16" s="155"/>
      <c r="E16" s="155"/>
      <c r="F16" s="155"/>
      <c r="G16" s="155"/>
      <c r="H16" s="155"/>
      <c r="I16" s="155"/>
      <c r="J16" s="15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24" customHeight="1" thickBot="1" x14ac:dyDescent="0.25">
      <c r="A17" s="158" t="s">
        <v>84</v>
      </c>
      <c r="B17" s="155"/>
      <c r="C17" s="159"/>
      <c r="D17" s="160"/>
      <c r="E17" s="155"/>
      <c r="F17" s="155"/>
      <c r="G17" s="155"/>
      <c r="H17" s="155"/>
      <c r="I17" s="155"/>
      <c r="J17" s="15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24" customHeight="1" thickBot="1" x14ac:dyDescent="0.25">
      <c r="A18" s="158" t="s">
        <v>85</v>
      </c>
      <c r="B18" s="155"/>
      <c r="C18" s="159"/>
      <c r="D18" s="154"/>
      <c r="E18" s="155"/>
      <c r="F18" s="155"/>
      <c r="G18" s="155"/>
      <c r="H18" s="155"/>
      <c r="I18" s="155"/>
      <c r="J18" s="15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9.5" customHeight="1" thickBot="1" x14ac:dyDescent="0.25">
      <c r="A19" s="158" t="s">
        <v>86</v>
      </c>
      <c r="B19" s="155"/>
      <c r="C19" s="159"/>
      <c r="D19" s="163"/>
      <c r="E19" s="162"/>
      <c r="F19" s="162"/>
      <c r="G19" s="162"/>
      <c r="H19" s="162"/>
      <c r="I19" s="162"/>
      <c r="J19" s="164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207" customHeight="1" thickBot="1" x14ac:dyDescent="0.25">
      <c r="A20" s="158" t="s">
        <v>87</v>
      </c>
      <c r="B20" s="155"/>
      <c r="C20" s="159"/>
      <c r="D20" s="154"/>
      <c r="E20" s="155"/>
      <c r="F20" s="155"/>
      <c r="G20" s="155"/>
      <c r="H20" s="155"/>
      <c r="I20" s="155"/>
      <c r="J20" s="15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8.75" customHeight="1" x14ac:dyDescent="0.2">
      <c r="A21" s="22"/>
      <c r="B21" s="16"/>
      <c r="C21" s="23"/>
      <c r="D21" s="24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8.75" customHeight="1" x14ac:dyDescent="0.2">
      <c r="A22" s="22"/>
      <c r="B22" s="16"/>
      <c r="C22" s="23"/>
      <c r="D22" s="24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8.75" customHeight="1" x14ac:dyDescent="0.2">
      <c r="A23" s="22"/>
      <c r="B23" s="16"/>
      <c r="C23" s="23"/>
      <c r="D23" s="24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8.75" customHeight="1" x14ac:dyDescent="0.2">
      <c r="A24" s="22"/>
      <c r="B24" s="16"/>
      <c r="C24" s="23"/>
      <c r="D24" s="24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8.75" customHeight="1" x14ac:dyDescent="0.2">
      <c r="A25" s="22"/>
      <c r="B25" s="16"/>
      <c r="C25" s="23"/>
      <c r="D25" s="24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8.75" customHeight="1" x14ac:dyDescent="0.2">
      <c r="A26" s="22"/>
      <c r="B26" s="16"/>
      <c r="C26" s="23"/>
      <c r="D26" s="24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8.75" customHeight="1" x14ac:dyDescent="0.2">
      <c r="A27" s="22"/>
      <c r="B27" s="16"/>
      <c r="C27" s="23"/>
      <c r="D27" s="2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8.75" customHeight="1" x14ac:dyDescent="0.2">
      <c r="A28" s="22"/>
      <c r="B28" s="16"/>
      <c r="C28" s="23"/>
      <c r="D28" s="24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8.75" customHeight="1" x14ac:dyDescent="0.2">
      <c r="A29" s="22"/>
      <c r="B29" s="16"/>
      <c r="C29" s="23"/>
      <c r="D29" s="24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8.75" customHeight="1" x14ac:dyDescent="0.2">
      <c r="A30" s="22"/>
      <c r="B30" s="16"/>
      <c r="C30" s="23"/>
      <c r="D30" s="24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8.75" customHeight="1" x14ac:dyDescent="0.2">
      <c r="A31" s="22"/>
      <c r="B31" s="16"/>
      <c r="C31" s="23"/>
      <c r="D31" s="24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8.75" customHeight="1" x14ac:dyDescent="0.2">
      <c r="A32" s="22"/>
      <c r="B32" s="16"/>
      <c r="C32" s="23"/>
      <c r="D32" s="24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8.75" customHeight="1" x14ac:dyDescent="0.2">
      <c r="A33" s="22"/>
      <c r="B33" s="16"/>
      <c r="C33" s="23"/>
      <c r="D33" s="24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8.75" customHeight="1" x14ac:dyDescent="0.2">
      <c r="A34" s="22"/>
      <c r="B34" s="16"/>
      <c r="C34" s="23"/>
      <c r="D34" s="24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8.75" customHeight="1" x14ac:dyDescent="0.2">
      <c r="A35" s="22"/>
      <c r="B35" s="16"/>
      <c r="C35" s="23"/>
      <c r="D35" s="24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8.75" customHeight="1" x14ac:dyDescent="0.2">
      <c r="A36" s="22"/>
      <c r="B36" s="16"/>
      <c r="C36" s="23"/>
      <c r="D36" s="24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8.75" customHeight="1" x14ac:dyDescent="0.2">
      <c r="A37" s="22"/>
      <c r="B37" s="16"/>
      <c r="C37" s="23"/>
      <c r="D37" s="2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8.75" customHeight="1" x14ac:dyDescent="0.2">
      <c r="A38" s="22"/>
      <c r="B38" s="16"/>
      <c r="C38" s="23"/>
      <c r="D38" s="24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8.75" customHeight="1" x14ac:dyDescent="0.2">
      <c r="A39" s="22"/>
      <c r="B39" s="16"/>
      <c r="C39" s="23"/>
      <c r="D39" s="24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8.75" customHeight="1" x14ac:dyDescent="0.2">
      <c r="A40" s="22"/>
      <c r="B40" s="16"/>
      <c r="C40" s="23"/>
      <c r="D40" s="24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8.75" customHeight="1" x14ac:dyDescent="0.2">
      <c r="A41" s="22"/>
      <c r="B41" s="16"/>
      <c r="C41" s="23"/>
      <c r="D41" s="24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8.75" customHeight="1" x14ac:dyDescent="0.2">
      <c r="A42" s="22"/>
      <c r="B42" s="16"/>
      <c r="C42" s="23"/>
      <c r="D42" s="24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8.75" customHeight="1" x14ac:dyDescent="0.2">
      <c r="A43" s="22"/>
      <c r="B43" s="16"/>
      <c r="C43" s="23"/>
      <c r="D43" s="24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8.75" customHeight="1" x14ac:dyDescent="0.2">
      <c r="A44" s="22"/>
      <c r="B44" s="16"/>
      <c r="C44" s="23"/>
      <c r="D44" s="24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8.75" customHeight="1" x14ac:dyDescent="0.2">
      <c r="A45" s="22"/>
      <c r="B45" s="16"/>
      <c r="C45" s="23"/>
      <c r="D45" s="24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8.75" customHeight="1" x14ac:dyDescent="0.2">
      <c r="A46" s="22"/>
      <c r="B46" s="16"/>
      <c r="C46" s="23"/>
      <c r="D46" s="2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8.75" customHeight="1" x14ac:dyDescent="0.2">
      <c r="A47" s="22"/>
      <c r="B47" s="16"/>
      <c r="C47" s="23"/>
      <c r="D47" s="2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8.75" customHeight="1" x14ac:dyDescent="0.2">
      <c r="A48" s="22"/>
      <c r="B48" s="16"/>
      <c r="C48" s="23"/>
      <c r="D48" s="24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8.75" customHeight="1" x14ac:dyDescent="0.2">
      <c r="A49" s="22"/>
      <c r="B49" s="16"/>
      <c r="C49" s="23"/>
      <c r="D49" s="24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8.75" customHeight="1" x14ac:dyDescent="0.2">
      <c r="A50" s="22"/>
      <c r="B50" s="16"/>
      <c r="C50" s="23"/>
      <c r="D50" s="24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8.75" customHeight="1" x14ac:dyDescent="0.2">
      <c r="A51" s="22"/>
      <c r="B51" s="16"/>
      <c r="C51" s="23"/>
      <c r="D51" s="24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8.75" customHeight="1" x14ac:dyDescent="0.2">
      <c r="A52" s="22"/>
      <c r="B52" s="16"/>
      <c r="C52" s="23"/>
      <c r="D52" s="24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8.75" customHeight="1" x14ac:dyDescent="0.2">
      <c r="A53" s="22"/>
      <c r="B53" s="16"/>
      <c r="C53" s="23"/>
      <c r="D53" s="24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8.75" customHeight="1" x14ac:dyDescent="0.2">
      <c r="A54" s="22"/>
      <c r="B54" s="16"/>
      <c r="C54" s="23"/>
      <c r="D54" s="24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8.75" customHeight="1" x14ac:dyDescent="0.2">
      <c r="A55" s="22"/>
      <c r="B55" s="16"/>
      <c r="C55" s="23"/>
      <c r="D55" s="24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8.75" customHeight="1" x14ac:dyDescent="0.2">
      <c r="A56" s="22"/>
      <c r="B56" s="16"/>
      <c r="C56" s="23"/>
      <c r="D56" s="24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8.75" customHeight="1" x14ac:dyDescent="0.2">
      <c r="A57" s="22"/>
      <c r="B57" s="16"/>
      <c r="C57" s="23"/>
      <c r="D57" s="24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8.75" customHeight="1" x14ac:dyDescent="0.2">
      <c r="A58" s="22"/>
      <c r="B58" s="16"/>
      <c r="C58" s="23"/>
      <c r="D58" s="2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8.75" customHeight="1" x14ac:dyDescent="0.2">
      <c r="A59" s="22"/>
      <c r="B59" s="16"/>
      <c r="C59" s="23"/>
      <c r="D59" s="2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8.75" customHeight="1" x14ac:dyDescent="0.2">
      <c r="A60" s="22"/>
      <c r="B60" s="16"/>
      <c r="C60" s="23"/>
      <c r="D60" s="24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8.75" customHeight="1" x14ac:dyDescent="0.2">
      <c r="A61" s="22"/>
      <c r="B61" s="16"/>
      <c r="C61" s="23"/>
      <c r="D61" s="24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8.75" customHeight="1" x14ac:dyDescent="0.2">
      <c r="A62" s="22"/>
      <c r="B62" s="16"/>
      <c r="C62" s="23"/>
      <c r="D62" s="24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8.75" customHeight="1" x14ac:dyDescent="0.2">
      <c r="A63" s="22"/>
      <c r="B63" s="16"/>
      <c r="C63" s="23"/>
      <c r="D63" s="24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8.75" customHeight="1" x14ac:dyDescent="0.2">
      <c r="A64" s="22"/>
      <c r="B64" s="16"/>
      <c r="C64" s="23"/>
      <c r="D64" s="24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8.75" customHeight="1" x14ac:dyDescent="0.2">
      <c r="A65" s="22"/>
      <c r="B65" s="16"/>
      <c r="C65" s="23"/>
      <c r="D65" s="24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8.75" customHeight="1" x14ac:dyDescent="0.2">
      <c r="A66" s="22"/>
      <c r="B66" s="16"/>
      <c r="C66" s="23"/>
      <c r="D66" s="24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8.75" customHeight="1" x14ac:dyDescent="0.2">
      <c r="A67" s="22"/>
      <c r="B67" s="16"/>
      <c r="C67" s="23"/>
      <c r="D67" s="24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8.75" customHeight="1" x14ac:dyDescent="0.2">
      <c r="A68" s="22"/>
      <c r="B68" s="16"/>
      <c r="C68" s="23"/>
      <c r="D68" s="24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8.75" customHeight="1" x14ac:dyDescent="0.2">
      <c r="A69" s="22"/>
      <c r="B69" s="16"/>
      <c r="C69" s="23"/>
      <c r="D69" s="2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8.75" customHeight="1" x14ac:dyDescent="0.2">
      <c r="A70" s="22"/>
      <c r="B70" s="16"/>
      <c r="C70" s="23"/>
      <c r="D70" s="24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8.75" customHeight="1" x14ac:dyDescent="0.2">
      <c r="A71" s="22"/>
      <c r="B71" s="16"/>
      <c r="C71" s="23"/>
      <c r="D71" s="24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8.75" customHeight="1" x14ac:dyDescent="0.2">
      <c r="A72" s="22"/>
      <c r="B72" s="16"/>
      <c r="C72" s="23"/>
      <c r="D72" s="24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8.75" customHeight="1" x14ac:dyDescent="0.2">
      <c r="A73" s="22"/>
      <c r="B73" s="16"/>
      <c r="C73" s="23"/>
      <c r="D73" s="24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8.75" customHeight="1" x14ac:dyDescent="0.2">
      <c r="A74" s="22"/>
      <c r="B74" s="16"/>
      <c r="C74" s="23"/>
      <c r="D74" s="24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8.75" customHeight="1" x14ac:dyDescent="0.2">
      <c r="A75" s="22"/>
      <c r="B75" s="16"/>
      <c r="C75" s="23"/>
      <c r="D75" s="24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8.75" customHeight="1" x14ac:dyDescent="0.2">
      <c r="A76" s="22"/>
      <c r="B76" s="16"/>
      <c r="C76" s="23"/>
      <c r="D76" s="24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8.75" customHeight="1" x14ac:dyDescent="0.2">
      <c r="A77" s="22"/>
      <c r="B77" s="16"/>
      <c r="C77" s="23"/>
      <c r="D77" s="24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8.75" customHeight="1" x14ac:dyDescent="0.2">
      <c r="A78" s="22"/>
      <c r="B78" s="16"/>
      <c r="C78" s="23"/>
      <c r="D78" s="24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8.75" customHeight="1" x14ac:dyDescent="0.2">
      <c r="A79" s="22"/>
      <c r="B79" s="16"/>
      <c r="C79" s="23"/>
      <c r="D79" s="24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8.75" customHeight="1" x14ac:dyDescent="0.2">
      <c r="A80" s="22"/>
      <c r="B80" s="16"/>
      <c r="C80" s="23"/>
      <c r="D80" s="24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8.75" customHeight="1" x14ac:dyDescent="0.2">
      <c r="A81" s="22"/>
      <c r="B81" s="16"/>
      <c r="C81" s="23"/>
      <c r="D81" s="24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8.75" customHeight="1" x14ac:dyDescent="0.2">
      <c r="A82" s="22"/>
      <c r="B82" s="16"/>
      <c r="C82" s="23"/>
      <c r="D82" s="24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8.75" customHeight="1" x14ac:dyDescent="0.2">
      <c r="A83" s="22"/>
      <c r="B83" s="16"/>
      <c r="C83" s="23"/>
      <c r="D83" s="24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8.75" customHeight="1" x14ac:dyDescent="0.2">
      <c r="A84" s="22"/>
      <c r="B84" s="16"/>
      <c r="C84" s="23"/>
      <c r="D84" s="24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8.75" customHeight="1" x14ac:dyDescent="0.2">
      <c r="A85" s="22"/>
      <c r="B85" s="16"/>
      <c r="C85" s="23"/>
      <c r="D85" s="24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8.75" customHeight="1" x14ac:dyDescent="0.2">
      <c r="A86" s="22"/>
      <c r="B86" s="16"/>
      <c r="C86" s="23"/>
      <c r="D86" s="24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8.75" customHeight="1" x14ac:dyDescent="0.2">
      <c r="A87" s="22"/>
      <c r="B87" s="16"/>
      <c r="C87" s="23"/>
      <c r="D87" s="24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8.75" customHeight="1" x14ac:dyDescent="0.2">
      <c r="A88" s="22"/>
      <c r="B88" s="16"/>
      <c r="C88" s="23"/>
      <c r="D88" s="24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8.75" customHeight="1" x14ac:dyDescent="0.2">
      <c r="A89" s="22"/>
      <c r="B89" s="16"/>
      <c r="C89" s="23"/>
      <c r="D89" s="24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8.75" customHeight="1" x14ac:dyDescent="0.2">
      <c r="A90" s="22"/>
      <c r="B90" s="16"/>
      <c r="C90" s="23"/>
      <c r="D90" s="24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8.75" customHeight="1" x14ac:dyDescent="0.2">
      <c r="A91" s="22"/>
      <c r="B91" s="16"/>
      <c r="C91" s="23"/>
      <c r="D91" s="24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8.75" customHeight="1" x14ac:dyDescent="0.2">
      <c r="A92" s="22"/>
      <c r="B92" s="16"/>
      <c r="C92" s="23"/>
      <c r="D92" s="24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8.75" customHeight="1" x14ac:dyDescent="0.2">
      <c r="A93" s="22"/>
      <c r="B93" s="16"/>
      <c r="C93" s="23"/>
      <c r="D93" s="24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8.75" customHeight="1" x14ac:dyDescent="0.2">
      <c r="A94" s="22"/>
      <c r="B94" s="16"/>
      <c r="C94" s="23"/>
      <c r="D94" s="24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8.75" customHeight="1" x14ac:dyDescent="0.2">
      <c r="A95" s="22"/>
      <c r="B95" s="16"/>
      <c r="C95" s="23"/>
      <c r="D95" s="24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8.75" customHeight="1" x14ac:dyDescent="0.2">
      <c r="A96" s="22"/>
      <c r="B96" s="16"/>
      <c r="C96" s="23"/>
      <c r="D96" s="24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8.75" customHeight="1" x14ac:dyDescent="0.2">
      <c r="A97" s="22"/>
      <c r="B97" s="16"/>
      <c r="C97" s="23"/>
      <c r="D97" s="24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8.75" customHeight="1" x14ac:dyDescent="0.2">
      <c r="A98" s="22"/>
      <c r="B98" s="16"/>
      <c r="C98" s="23"/>
      <c r="D98" s="24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8.75" customHeight="1" x14ac:dyDescent="0.2">
      <c r="A99" s="22"/>
      <c r="B99" s="16"/>
      <c r="C99" s="23"/>
      <c r="D99" s="24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8.75" customHeight="1" x14ac:dyDescent="0.2">
      <c r="A100" s="22"/>
      <c r="B100" s="16"/>
      <c r="C100" s="23"/>
      <c r="D100" s="24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8.75" customHeight="1" x14ac:dyDescent="0.2">
      <c r="A101" s="22"/>
      <c r="B101" s="16"/>
      <c r="C101" s="23"/>
      <c r="D101" s="24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8.75" customHeight="1" x14ac:dyDescent="0.2">
      <c r="A102" s="22"/>
      <c r="B102" s="16"/>
      <c r="C102" s="23"/>
      <c r="D102" s="24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8.75" customHeight="1" x14ac:dyDescent="0.2">
      <c r="A103" s="22"/>
      <c r="B103" s="16"/>
      <c r="C103" s="23"/>
      <c r="D103" s="24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8.75" customHeight="1" x14ac:dyDescent="0.2">
      <c r="A104" s="22"/>
      <c r="B104" s="16"/>
      <c r="C104" s="23"/>
      <c r="D104" s="24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8.75" customHeight="1" x14ac:dyDescent="0.2">
      <c r="A105" s="22"/>
      <c r="B105" s="16"/>
      <c r="C105" s="23"/>
      <c r="D105" s="24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8.75" customHeight="1" x14ac:dyDescent="0.2">
      <c r="A106" s="22"/>
      <c r="B106" s="16"/>
      <c r="C106" s="23"/>
      <c r="D106" s="24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8.75" customHeight="1" x14ac:dyDescent="0.2">
      <c r="A107" s="22"/>
      <c r="B107" s="16"/>
      <c r="C107" s="23"/>
      <c r="D107" s="24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8.75" customHeight="1" x14ac:dyDescent="0.2">
      <c r="A108" s="22"/>
      <c r="B108" s="16"/>
      <c r="C108" s="23"/>
      <c r="D108" s="24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8.75" customHeight="1" x14ac:dyDescent="0.2">
      <c r="A109" s="22"/>
      <c r="B109" s="16"/>
      <c r="C109" s="23"/>
      <c r="D109" s="24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8.75" customHeight="1" x14ac:dyDescent="0.2">
      <c r="A110" s="22"/>
      <c r="B110" s="16"/>
      <c r="C110" s="23"/>
      <c r="D110" s="24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8.75" customHeight="1" x14ac:dyDescent="0.2">
      <c r="A111" s="22"/>
      <c r="B111" s="16"/>
      <c r="C111" s="23"/>
      <c r="D111" s="24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8.75" customHeight="1" x14ac:dyDescent="0.2">
      <c r="A112" s="22"/>
      <c r="B112" s="16"/>
      <c r="C112" s="23"/>
      <c r="D112" s="24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8.75" customHeight="1" x14ac:dyDescent="0.2">
      <c r="A113" s="22"/>
      <c r="B113" s="16"/>
      <c r="C113" s="23"/>
      <c r="D113" s="24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8.75" customHeight="1" x14ac:dyDescent="0.2">
      <c r="A114" s="22"/>
      <c r="B114" s="16"/>
      <c r="C114" s="23"/>
      <c r="D114" s="24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8.75" customHeight="1" x14ac:dyDescent="0.2">
      <c r="A115" s="22"/>
      <c r="B115" s="16"/>
      <c r="C115" s="23"/>
      <c r="D115" s="24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8.75" customHeight="1" x14ac:dyDescent="0.2">
      <c r="A116" s="22"/>
      <c r="B116" s="16"/>
      <c r="C116" s="23"/>
      <c r="D116" s="24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8.75" customHeight="1" x14ac:dyDescent="0.2">
      <c r="A117" s="22"/>
      <c r="B117" s="16"/>
      <c r="C117" s="23"/>
      <c r="D117" s="24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8.75" customHeight="1" x14ac:dyDescent="0.2">
      <c r="A118" s="22"/>
      <c r="B118" s="16"/>
      <c r="C118" s="23"/>
      <c r="D118" s="24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8.75" customHeight="1" x14ac:dyDescent="0.2">
      <c r="A119" s="22"/>
      <c r="B119" s="16"/>
      <c r="C119" s="23"/>
      <c r="D119" s="24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8.75" customHeight="1" x14ac:dyDescent="0.2">
      <c r="A120" s="22"/>
      <c r="B120" s="16"/>
      <c r="C120" s="23"/>
      <c r="D120" s="24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8.75" customHeight="1" x14ac:dyDescent="0.2">
      <c r="A121" s="22"/>
      <c r="B121" s="16"/>
      <c r="C121" s="23"/>
      <c r="D121" s="24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8.75" customHeight="1" x14ac:dyDescent="0.2">
      <c r="A122" s="22"/>
      <c r="B122" s="16"/>
      <c r="C122" s="23"/>
      <c r="D122" s="24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8.75" customHeight="1" x14ac:dyDescent="0.2">
      <c r="A123" s="22"/>
      <c r="B123" s="16"/>
      <c r="C123" s="23"/>
      <c r="D123" s="24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8.75" customHeight="1" x14ac:dyDescent="0.2">
      <c r="A124" s="22"/>
      <c r="B124" s="16"/>
      <c r="C124" s="23"/>
      <c r="D124" s="24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8.75" customHeight="1" x14ac:dyDescent="0.2">
      <c r="A125" s="22"/>
      <c r="B125" s="16"/>
      <c r="C125" s="23"/>
      <c r="D125" s="24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8.75" customHeight="1" x14ac:dyDescent="0.2">
      <c r="A126" s="22"/>
      <c r="B126" s="16"/>
      <c r="C126" s="23"/>
      <c r="D126" s="24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8.75" customHeight="1" x14ac:dyDescent="0.2">
      <c r="A127" s="22"/>
      <c r="B127" s="16"/>
      <c r="C127" s="23"/>
      <c r="D127" s="24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8.75" customHeight="1" x14ac:dyDescent="0.2">
      <c r="A128" s="22"/>
      <c r="B128" s="16"/>
      <c r="C128" s="23"/>
      <c r="D128" s="24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8.75" customHeight="1" x14ac:dyDescent="0.2">
      <c r="A129" s="22"/>
      <c r="B129" s="16"/>
      <c r="C129" s="23"/>
      <c r="D129" s="24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8.75" customHeight="1" x14ac:dyDescent="0.2">
      <c r="A130" s="22"/>
      <c r="B130" s="16"/>
      <c r="C130" s="23"/>
      <c r="D130" s="24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8.75" customHeight="1" x14ac:dyDescent="0.2">
      <c r="A131" s="22"/>
      <c r="B131" s="16"/>
      <c r="C131" s="23"/>
      <c r="D131" s="24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8.75" customHeight="1" x14ac:dyDescent="0.2">
      <c r="A132" s="22"/>
      <c r="B132" s="16"/>
      <c r="C132" s="23"/>
      <c r="D132" s="24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8.75" customHeight="1" x14ac:dyDescent="0.2">
      <c r="A133" s="22"/>
      <c r="B133" s="16"/>
      <c r="C133" s="23"/>
      <c r="D133" s="24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8.75" customHeight="1" x14ac:dyDescent="0.2">
      <c r="A134" s="22"/>
      <c r="B134" s="16"/>
      <c r="C134" s="23"/>
      <c r="D134" s="24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8.75" customHeight="1" x14ac:dyDescent="0.2">
      <c r="A135" s="22"/>
      <c r="B135" s="16"/>
      <c r="C135" s="23"/>
      <c r="D135" s="24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8.75" customHeight="1" x14ac:dyDescent="0.2">
      <c r="A136" s="22"/>
      <c r="B136" s="16"/>
      <c r="C136" s="23"/>
      <c r="D136" s="24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8.75" customHeight="1" x14ac:dyDescent="0.2">
      <c r="A137" s="22"/>
      <c r="B137" s="16"/>
      <c r="C137" s="23"/>
      <c r="D137" s="2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8.75" customHeight="1" x14ac:dyDescent="0.2">
      <c r="A138" s="22"/>
      <c r="B138" s="16"/>
      <c r="C138" s="23"/>
      <c r="D138" s="24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8.75" customHeight="1" x14ac:dyDescent="0.2">
      <c r="A139" s="22"/>
      <c r="B139" s="16"/>
      <c r="C139" s="23"/>
      <c r="D139" s="24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8.75" customHeight="1" x14ac:dyDescent="0.2">
      <c r="A140" s="22"/>
      <c r="B140" s="16"/>
      <c r="C140" s="23"/>
      <c r="D140" s="24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8.75" customHeight="1" x14ac:dyDescent="0.2">
      <c r="A141" s="22"/>
      <c r="B141" s="16"/>
      <c r="C141" s="23"/>
      <c r="D141" s="24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8.75" customHeight="1" x14ac:dyDescent="0.2">
      <c r="A142" s="22"/>
      <c r="B142" s="16"/>
      <c r="C142" s="23"/>
      <c r="D142" s="24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8.75" customHeight="1" x14ac:dyDescent="0.2">
      <c r="A143" s="22"/>
      <c r="B143" s="16"/>
      <c r="C143" s="23"/>
      <c r="D143" s="24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8.75" customHeight="1" x14ac:dyDescent="0.2">
      <c r="A144" s="22"/>
      <c r="B144" s="16"/>
      <c r="C144" s="23"/>
      <c r="D144" s="24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8.75" customHeight="1" x14ac:dyDescent="0.2">
      <c r="A145" s="22"/>
      <c r="B145" s="16"/>
      <c r="C145" s="23"/>
      <c r="D145" s="24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8.75" customHeight="1" x14ac:dyDescent="0.2">
      <c r="A146" s="22"/>
      <c r="B146" s="16"/>
      <c r="C146" s="23"/>
      <c r="D146" s="24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8.75" customHeight="1" x14ac:dyDescent="0.2">
      <c r="A147" s="22"/>
      <c r="B147" s="16"/>
      <c r="C147" s="23"/>
      <c r="D147" s="24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8.75" customHeight="1" x14ac:dyDescent="0.2">
      <c r="A148" s="22"/>
      <c r="B148" s="16"/>
      <c r="C148" s="23"/>
      <c r="D148" s="24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8.75" customHeight="1" x14ac:dyDescent="0.2">
      <c r="A149" s="22"/>
      <c r="B149" s="16"/>
      <c r="C149" s="23"/>
      <c r="D149" s="24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8.75" customHeight="1" x14ac:dyDescent="0.2">
      <c r="A150" s="22"/>
      <c r="B150" s="16"/>
      <c r="C150" s="23"/>
      <c r="D150" s="24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8.75" customHeight="1" x14ac:dyDescent="0.2">
      <c r="A151" s="22"/>
      <c r="B151" s="16"/>
      <c r="C151" s="23"/>
      <c r="D151" s="24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8.75" customHeight="1" x14ac:dyDescent="0.2">
      <c r="A152" s="22"/>
      <c r="B152" s="16"/>
      <c r="C152" s="23"/>
      <c r="D152" s="24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8.75" customHeight="1" x14ac:dyDescent="0.2">
      <c r="A153" s="22"/>
      <c r="B153" s="16"/>
      <c r="C153" s="23"/>
      <c r="D153" s="24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8.75" customHeight="1" x14ac:dyDescent="0.2">
      <c r="A154" s="22"/>
      <c r="B154" s="16"/>
      <c r="C154" s="23"/>
      <c r="D154" s="24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8.75" customHeight="1" x14ac:dyDescent="0.2">
      <c r="A155" s="22"/>
      <c r="B155" s="16"/>
      <c r="C155" s="23"/>
      <c r="D155" s="24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8.75" customHeight="1" x14ac:dyDescent="0.2">
      <c r="A156" s="22"/>
      <c r="B156" s="16"/>
      <c r="C156" s="23"/>
      <c r="D156" s="24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8.75" customHeight="1" x14ac:dyDescent="0.2">
      <c r="A157" s="22"/>
      <c r="B157" s="16"/>
      <c r="C157" s="23"/>
      <c r="D157" s="24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8.75" customHeight="1" x14ac:dyDescent="0.2">
      <c r="A158" s="22"/>
      <c r="B158" s="16"/>
      <c r="C158" s="23"/>
      <c r="D158" s="24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8.75" customHeight="1" x14ac:dyDescent="0.2">
      <c r="A159" s="22"/>
      <c r="B159" s="16"/>
      <c r="C159" s="23"/>
      <c r="D159" s="24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8.75" customHeight="1" x14ac:dyDescent="0.2">
      <c r="A160" s="22"/>
      <c r="B160" s="16"/>
      <c r="C160" s="23"/>
      <c r="D160" s="24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8.75" customHeight="1" x14ac:dyDescent="0.2">
      <c r="A161" s="22"/>
      <c r="B161" s="16"/>
      <c r="C161" s="23"/>
      <c r="D161" s="24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8.75" customHeight="1" x14ac:dyDescent="0.2">
      <c r="A162" s="22"/>
      <c r="B162" s="16"/>
      <c r="C162" s="23"/>
      <c r="D162" s="24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8.75" customHeight="1" x14ac:dyDescent="0.2">
      <c r="A163" s="22"/>
      <c r="B163" s="16"/>
      <c r="C163" s="23"/>
      <c r="D163" s="24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8.75" customHeight="1" x14ac:dyDescent="0.2">
      <c r="A164" s="22"/>
      <c r="B164" s="16"/>
      <c r="C164" s="23"/>
      <c r="D164" s="24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8.75" customHeight="1" x14ac:dyDescent="0.2">
      <c r="A165" s="22"/>
      <c r="B165" s="16"/>
      <c r="C165" s="23"/>
      <c r="D165" s="24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8.75" customHeight="1" x14ac:dyDescent="0.2">
      <c r="A166" s="22"/>
      <c r="B166" s="16"/>
      <c r="C166" s="23"/>
      <c r="D166" s="24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8.75" customHeight="1" x14ac:dyDescent="0.2">
      <c r="A167" s="22"/>
      <c r="B167" s="16"/>
      <c r="C167" s="23"/>
      <c r="D167" s="24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8.75" customHeight="1" x14ac:dyDescent="0.2">
      <c r="A168" s="22"/>
      <c r="B168" s="16"/>
      <c r="C168" s="23"/>
      <c r="D168" s="24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8.75" customHeight="1" x14ac:dyDescent="0.2">
      <c r="A169" s="22"/>
      <c r="B169" s="16"/>
      <c r="C169" s="23"/>
      <c r="D169" s="24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8.75" customHeight="1" x14ac:dyDescent="0.2">
      <c r="A170" s="22"/>
      <c r="B170" s="16"/>
      <c r="C170" s="23"/>
      <c r="D170" s="24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8.75" customHeight="1" x14ac:dyDescent="0.2">
      <c r="A171" s="22"/>
      <c r="B171" s="16"/>
      <c r="C171" s="23"/>
      <c r="D171" s="24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8.75" customHeight="1" x14ac:dyDescent="0.2">
      <c r="A172" s="22"/>
      <c r="B172" s="16"/>
      <c r="C172" s="23"/>
      <c r="D172" s="24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8.75" customHeight="1" x14ac:dyDescent="0.2">
      <c r="A173" s="22"/>
      <c r="B173" s="16"/>
      <c r="C173" s="23"/>
      <c r="D173" s="24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8.75" customHeight="1" x14ac:dyDescent="0.2">
      <c r="A174" s="22"/>
      <c r="B174" s="16"/>
      <c r="C174" s="23"/>
      <c r="D174" s="2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8.75" customHeight="1" x14ac:dyDescent="0.2">
      <c r="A175" s="22"/>
      <c r="B175" s="16"/>
      <c r="C175" s="23"/>
      <c r="D175" s="24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8.75" customHeight="1" x14ac:dyDescent="0.2">
      <c r="A176" s="22"/>
      <c r="B176" s="16"/>
      <c r="C176" s="23"/>
      <c r="D176" s="24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8.75" customHeight="1" x14ac:dyDescent="0.2">
      <c r="A177" s="22"/>
      <c r="B177" s="16"/>
      <c r="C177" s="23"/>
      <c r="D177" s="24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8.75" customHeight="1" x14ac:dyDescent="0.2">
      <c r="A178" s="22"/>
      <c r="B178" s="16"/>
      <c r="C178" s="23"/>
      <c r="D178" s="24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8.75" customHeight="1" x14ac:dyDescent="0.2">
      <c r="A179" s="22"/>
      <c r="B179" s="16"/>
      <c r="C179" s="23"/>
      <c r="D179" s="24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8.75" customHeight="1" x14ac:dyDescent="0.2">
      <c r="A180" s="22"/>
      <c r="B180" s="16"/>
      <c r="C180" s="23"/>
      <c r="D180" s="24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8.75" customHeight="1" x14ac:dyDescent="0.2">
      <c r="A181" s="22"/>
      <c r="B181" s="16"/>
      <c r="C181" s="23"/>
      <c r="D181" s="24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8.75" customHeight="1" x14ac:dyDescent="0.2">
      <c r="A182" s="22"/>
      <c r="B182" s="16"/>
      <c r="C182" s="23"/>
      <c r="D182" s="24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8.75" customHeight="1" x14ac:dyDescent="0.2">
      <c r="A183" s="22"/>
      <c r="B183" s="16"/>
      <c r="C183" s="23"/>
      <c r="D183" s="2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8.75" customHeight="1" x14ac:dyDescent="0.2">
      <c r="A184" s="22"/>
      <c r="B184" s="16"/>
      <c r="C184" s="23"/>
      <c r="D184" s="24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8.75" customHeight="1" x14ac:dyDescent="0.2">
      <c r="A185" s="22"/>
      <c r="B185" s="16"/>
      <c r="C185" s="23"/>
      <c r="D185" s="24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8.75" customHeight="1" x14ac:dyDescent="0.2">
      <c r="A186" s="22"/>
      <c r="B186" s="16"/>
      <c r="C186" s="23"/>
      <c r="D186" s="24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8.75" customHeight="1" x14ac:dyDescent="0.2">
      <c r="A187" s="22"/>
      <c r="B187" s="16"/>
      <c r="C187" s="23"/>
      <c r="D187" s="24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8.75" customHeight="1" x14ac:dyDescent="0.2">
      <c r="A188" s="22"/>
      <c r="B188" s="16"/>
      <c r="C188" s="23"/>
      <c r="D188" s="24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8.75" customHeight="1" x14ac:dyDescent="0.2">
      <c r="A189" s="22"/>
      <c r="B189" s="16"/>
      <c r="C189" s="23"/>
      <c r="D189" s="24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8.75" customHeight="1" x14ac:dyDescent="0.2">
      <c r="A190" s="22"/>
      <c r="B190" s="16"/>
      <c r="C190" s="23"/>
      <c r="D190" s="2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8.75" customHeight="1" x14ac:dyDescent="0.2">
      <c r="A191" s="22"/>
      <c r="B191" s="16"/>
      <c r="C191" s="23"/>
      <c r="D191" s="2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8.75" customHeight="1" x14ac:dyDescent="0.2">
      <c r="A192" s="22"/>
      <c r="B192" s="16"/>
      <c r="C192" s="23"/>
      <c r="D192" s="2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8.75" customHeight="1" x14ac:dyDescent="0.2">
      <c r="A193" s="22"/>
      <c r="B193" s="16"/>
      <c r="C193" s="23"/>
      <c r="D193" s="24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8.75" customHeight="1" x14ac:dyDescent="0.2">
      <c r="A194" s="22"/>
      <c r="B194" s="16"/>
      <c r="C194" s="23"/>
      <c r="D194" s="24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8.75" customHeight="1" x14ac:dyDescent="0.2">
      <c r="A195" s="22"/>
      <c r="B195" s="16"/>
      <c r="C195" s="23"/>
      <c r="D195" s="24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8.75" customHeight="1" x14ac:dyDescent="0.2">
      <c r="A196" s="22"/>
      <c r="B196" s="16"/>
      <c r="C196" s="23"/>
      <c r="D196" s="2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8.75" customHeight="1" x14ac:dyDescent="0.2">
      <c r="A197" s="22"/>
      <c r="B197" s="16"/>
      <c r="C197" s="23"/>
      <c r="D197" s="24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8.75" customHeight="1" x14ac:dyDescent="0.2">
      <c r="A198" s="22"/>
      <c r="B198" s="16"/>
      <c r="C198" s="23"/>
      <c r="D198" s="24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8.75" customHeight="1" x14ac:dyDescent="0.2">
      <c r="A199" s="22"/>
      <c r="B199" s="16"/>
      <c r="C199" s="23"/>
      <c r="D199" s="2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8.75" customHeight="1" x14ac:dyDescent="0.2">
      <c r="A200" s="22"/>
      <c r="B200" s="16"/>
      <c r="C200" s="23"/>
      <c r="D200" s="2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8.75" customHeight="1" x14ac:dyDescent="0.2">
      <c r="A201" s="22"/>
      <c r="B201" s="16"/>
      <c r="C201" s="23"/>
      <c r="D201" s="2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8.75" customHeight="1" x14ac:dyDescent="0.2">
      <c r="A202" s="22"/>
      <c r="B202" s="16"/>
      <c r="C202" s="23"/>
      <c r="D202" s="24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8.75" customHeight="1" x14ac:dyDescent="0.2">
      <c r="A203" s="22"/>
      <c r="B203" s="16"/>
      <c r="C203" s="23"/>
      <c r="D203" s="24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8.75" customHeight="1" x14ac:dyDescent="0.2">
      <c r="A204" s="22"/>
      <c r="B204" s="16"/>
      <c r="C204" s="23"/>
      <c r="D204" s="2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8.75" customHeight="1" x14ac:dyDescent="0.2">
      <c r="A205" s="22"/>
      <c r="B205" s="16"/>
      <c r="C205" s="23"/>
      <c r="D205" s="2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8.75" customHeight="1" x14ac:dyDescent="0.2">
      <c r="A206" s="22"/>
      <c r="B206" s="16"/>
      <c r="C206" s="23"/>
      <c r="D206" s="2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8.75" customHeight="1" x14ac:dyDescent="0.2">
      <c r="A207" s="22"/>
      <c r="B207" s="16"/>
      <c r="C207" s="23"/>
      <c r="D207" s="2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8.75" customHeight="1" x14ac:dyDescent="0.2">
      <c r="A208" s="22"/>
      <c r="B208" s="16"/>
      <c r="C208" s="23"/>
      <c r="D208" s="2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8.75" customHeight="1" x14ac:dyDescent="0.2">
      <c r="A209" s="22"/>
      <c r="B209" s="16"/>
      <c r="C209" s="23"/>
      <c r="D209" s="2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8.75" customHeight="1" x14ac:dyDescent="0.2">
      <c r="A210" s="22"/>
      <c r="B210" s="16"/>
      <c r="C210" s="23"/>
      <c r="D210" s="24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8.75" customHeight="1" x14ac:dyDescent="0.2">
      <c r="A211" s="22"/>
      <c r="B211" s="16"/>
      <c r="C211" s="23"/>
      <c r="D211" s="24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8.75" customHeight="1" x14ac:dyDescent="0.2">
      <c r="A212" s="22"/>
      <c r="B212" s="16"/>
      <c r="C212" s="23"/>
      <c r="D212" s="2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8.75" customHeight="1" x14ac:dyDescent="0.2">
      <c r="A213" s="22"/>
      <c r="B213" s="16"/>
      <c r="C213" s="23"/>
      <c r="D213" s="2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8.75" customHeight="1" x14ac:dyDescent="0.2">
      <c r="A214" s="22"/>
      <c r="B214" s="16"/>
      <c r="C214" s="23"/>
      <c r="D214" s="2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8.75" customHeight="1" x14ac:dyDescent="0.2">
      <c r="A215" s="22"/>
      <c r="B215" s="16"/>
      <c r="C215" s="23"/>
      <c r="D215" s="2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8.75" customHeight="1" x14ac:dyDescent="0.2">
      <c r="A216" s="22"/>
      <c r="B216" s="16"/>
      <c r="C216" s="23"/>
      <c r="D216" s="2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8.75" customHeight="1" x14ac:dyDescent="0.2">
      <c r="A217" s="22"/>
      <c r="B217" s="16"/>
      <c r="C217" s="23"/>
      <c r="D217" s="24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8.75" customHeight="1" x14ac:dyDescent="0.2">
      <c r="A218" s="22"/>
      <c r="B218" s="16"/>
      <c r="C218" s="23"/>
      <c r="D218" s="24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8.75" customHeight="1" x14ac:dyDescent="0.2">
      <c r="A219" s="22"/>
      <c r="B219" s="16"/>
      <c r="C219" s="23"/>
      <c r="D219" s="24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8.75" customHeight="1" x14ac:dyDescent="0.2">
      <c r="A220" s="22"/>
      <c r="B220" s="16"/>
      <c r="C220" s="23"/>
      <c r="D220" s="24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8.75" customHeight="1" x14ac:dyDescent="0.2">
      <c r="A221" s="22"/>
      <c r="B221" s="16"/>
      <c r="C221" s="23"/>
      <c r="D221" s="24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8.75" customHeight="1" x14ac:dyDescent="0.2">
      <c r="A222" s="22"/>
      <c r="B222" s="16"/>
      <c r="C222" s="23"/>
      <c r="D222" s="24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8.75" customHeight="1" x14ac:dyDescent="0.2">
      <c r="A223" s="22"/>
      <c r="B223" s="16"/>
      <c r="C223" s="23"/>
      <c r="D223" s="24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8.75" customHeight="1" x14ac:dyDescent="0.2">
      <c r="A224" s="22"/>
      <c r="B224" s="16"/>
      <c r="C224" s="23"/>
      <c r="D224" s="24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8.75" customHeight="1" x14ac:dyDescent="0.2">
      <c r="A225" s="22"/>
      <c r="B225" s="16"/>
      <c r="C225" s="23"/>
      <c r="D225" s="24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8.75" customHeight="1" x14ac:dyDescent="0.2">
      <c r="A226" s="22"/>
      <c r="B226" s="16"/>
      <c r="C226" s="23"/>
      <c r="D226" s="24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8.75" customHeight="1" x14ac:dyDescent="0.2">
      <c r="A227" s="22"/>
      <c r="B227" s="16"/>
      <c r="C227" s="23"/>
      <c r="D227" s="24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8.75" customHeight="1" x14ac:dyDescent="0.2">
      <c r="A228" s="22"/>
      <c r="B228" s="16"/>
      <c r="C228" s="23"/>
      <c r="D228" s="24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8.75" customHeight="1" x14ac:dyDescent="0.2">
      <c r="A229" s="22"/>
      <c r="B229" s="16"/>
      <c r="C229" s="23"/>
      <c r="D229" s="24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8.75" customHeight="1" x14ac:dyDescent="0.2">
      <c r="A230" s="22"/>
      <c r="B230" s="16"/>
      <c r="C230" s="23"/>
      <c r="D230" s="24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8.75" customHeight="1" x14ac:dyDescent="0.2">
      <c r="A231" s="22"/>
      <c r="B231" s="16"/>
      <c r="C231" s="23"/>
      <c r="D231" s="24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8.75" customHeight="1" x14ac:dyDescent="0.2">
      <c r="A232" s="22"/>
      <c r="B232" s="16"/>
      <c r="C232" s="23"/>
      <c r="D232" s="24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8.75" customHeight="1" x14ac:dyDescent="0.2">
      <c r="A233" s="22"/>
      <c r="B233" s="16"/>
      <c r="C233" s="23"/>
      <c r="D233" s="24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8.75" customHeight="1" x14ac:dyDescent="0.2">
      <c r="A234" s="22"/>
      <c r="B234" s="16"/>
      <c r="C234" s="23"/>
      <c r="D234" s="24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8.75" customHeight="1" x14ac:dyDescent="0.2">
      <c r="A235" s="22"/>
      <c r="B235" s="16"/>
      <c r="C235" s="23"/>
      <c r="D235" s="24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8.75" customHeight="1" x14ac:dyDescent="0.2">
      <c r="A236" s="22"/>
      <c r="B236" s="16"/>
      <c r="C236" s="23"/>
      <c r="D236" s="24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8.75" customHeight="1" x14ac:dyDescent="0.2">
      <c r="A237" s="22"/>
      <c r="B237" s="16"/>
      <c r="C237" s="23"/>
      <c r="D237" s="24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8.75" customHeight="1" x14ac:dyDescent="0.2">
      <c r="A238" s="22"/>
      <c r="B238" s="16"/>
      <c r="C238" s="23"/>
      <c r="D238" s="24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8.75" customHeight="1" x14ac:dyDescent="0.2">
      <c r="A239" s="22"/>
      <c r="B239" s="16"/>
      <c r="C239" s="23"/>
      <c r="D239" s="24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8.75" customHeight="1" x14ac:dyDescent="0.2">
      <c r="A240" s="22"/>
      <c r="B240" s="16"/>
      <c r="C240" s="23"/>
      <c r="D240" s="24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8.75" customHeight="1" x14ac:dyDescent="0.2">
      <c r="A241" s="22"/>
      <c r="B241" s="16"/>
      <c r="C241" s="23"/>
      <c r="D241" s="24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8.75" customHeight="1" x14ac:dyDescent="0.2">
      <c r="A242" s="22"/>
      <c r="B242" s="16"/>
      <c r="C242" s="23"/>
      <c r="D242" s="24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8.75" customHeight="1" x14ac:dyDescent="0.2">
      <c r="A243" s="22"/>
      <c r="B243" s="16"/>
      <c r="C243" s="23"/>
      <c r="D243" s="24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8.75" customHeight="1" x14ac:dyDescent="0.2">
      <c r="A244" s="22"/>
      <c r="B244" s="16"/>
      <c r="C244" s="23"/>
      <c r="D244" s="24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8.75" customHeight="1" x14ac:dyDescent="0.2">
      <c r="A245" s="22"/>
      <c r="B245" s="16"/>
      <c r="C245" s="23"/>
      <c r="D245" s="24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8.75" customHeight="1" x14ac:dyDescent="0.2">
      <c r="A246" s="22"/>
      <c r="B246" s="16"/>
      <c r="C246" s="23"/>
      <c r="D246" s="24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8.75" customHeight="1" x14ac:dyDescent="0.2">
      <c r="A247" s="22"/>
      <c r="B247" s="16"/>
      <c r="C247" s="23"/>
      <c r="D247" s="24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8.75" customHeight="1" x14ac:dyDescent="0.2">
      <c r="A248" s="22"/>
      <c r="B248" s="16"/>
      <c r="C248" s="23"/>
      <c r="D248" s="24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8.75" customHeight="1" x14ac:dyDescent="0.2">
      <c r="A249" s="22"/>
      <c r="B249" s="16"/>
      <c r="C249" s="23"/>
      <c r="D249" s="24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8.75" customHeight="1" x14ac:dyDescent="0.2">
      <c r="A250" s="22"/>
      <c r="B250" s="16"/>
      <c r="C250" s="23"/>
      <c r="D250" s="24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8.75" customHeight="1" x14ac:dyDescent="0.2">
      <c r="A251" s="22"/>
      <c r="B251" s="16"/>
      <c r="C251" s="23"/>
      <c r="D251" s="24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8.75" customHeight="1" x14ac:dyDescent="0.2">
      <c r="A252" s="22"/>
      <c r="B252" s="16"/>
      <c r="C252" s="23"/>
      <c r="D252" s="24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8.75" customHeight="1" x14ac:dyDescent="0.2">
      <c r="A253" s="22"/>
      <c r="B253" s="16"/>
      <c r="C253" s="23"/>
      <c r="D253" s="24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8.75" customHeight="1" x14ac:dyDescent="0.2">
      <c r="A254" s="22"/>
      <c r="B254" s="16"/>
      <c r="C254" s="23"/>
      <c r="D254" s="24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8.75" customHeight="1" x14ac:dyDescent="0.2">
      <c r="A255" s="22"/>
      <c r="B255" s="16"/>
      <c r="C255" s="23"/>
      <c r="D255" s="24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8.75" customHeight="1" x14ac:dyDescent="0.2">
      <c r="A256" s="22"/>
      <c r="B256" s="16"/>
      <c r="C256" s="23"/>
      <c r="D256" s="24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8.75" customHeight="1" x14ac:dyDescent="0.2">
      <c r="A257" s="22"/>
      <c r="B257" s="16"/>
      <c r="C257" s="23"/>
      <c r="D257" s="24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8.75" customHeight="1" x14ac:dyDescent="0.2">
      <c r="A258" s="22"/>
      <c r="B258" s="16"/>
      <c r="C258" s="23"/>
      <c r="D258" s="24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8.75" customHeight="1" x14ac:dyDescent="0.2">
      <c r="A259" s="22"/>
      <c r="B259" s="16"/>
      <c r="C259" s="23"/>
      <c r="D259" s="24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8.75" customHeight="1" x14ac:dyDescent="0.2">
      <c r="A260" s="22"/>
      <c r="B260" s="16"/>
      <c r="C260" s="23"/>
      <c r="D260" s="24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8.75" customHeight="1" x14ac:dyDescent="0.2">
      <c r="A261" s="22"/>
      <c r="B261" s="16"/>
      <c r="C261" s="23"/>
      <c r="D261" s="24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8.75" customHeight="1" x14ac:dyDescent="0.2">
      <c r="A262" s="22"/>
      <c r="B262" s="16"/>
      <c r="C262" s="23"/>
      <c r="D262" s="24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8.75" customHeight="1" x14ac:dyDescent="0.2">
      <c r="A263" s="22"/>
      <c r="B263" s="16"/>
      <c r="C263" s="23"/>
      <c r="D263" s="24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8.75" customHeight="1" x14ac:dyDescent="0.2">
      <c r="A264" s="22"/>
      <c r="B264" s="16"/>
      <c r="C264" s="23"/>
      <c r="D264" s="2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8.75" customHeight="1" x14ac:dyDescent="0.2">
      <c r="A265" s="22"/>
      <c r="B265" s="16"/>
      <c r="C265" s="23"/>
      <c r="D265" s="2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8.75" customHeight="1" x14ac:dyDescent="0.2">
      <c r="A266" s="22"/>
      <c r="B266" s="16"/>
      <c r="C266" s="23"/>
      <c r="D266" s="2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8.75" customHeight="1" x14ac:dyDescent="0.2">
      <c r="A267" s="22"/>
      <c r="B267" s="16"/>
      <c r="C267" s="23"/>
      <c r="D267" s="24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8.75" customHeight="1" x14ac:dyDescent="0.2">
      <c r="A268" s="22"/>
      <c r="B268" s="16"/>
      <c r="C268" s="23"/>
      <c r="D268" s="24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8.75" customHeight="1" x14ac:dyDescent="0.2">
      <c r="A269" s="22"/>
      <c r="B269" s="16"/>
      <c r="C269" s="23"/>
      <c r="D269" s="24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8.75" customHeight="1" x14ac:dyDescent="0.2">
      <c r="A270" s="22"/>
      <c r="B270" s="16"/>
      <c r="C270" s="23"/>
      <c r="D270" s="24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8.75" customHeight="1" x14ac:dyDescent="0.2">
      <c r="A271" s="22"/>
      <c r="B271" s="16"/>
      <c r="C271" s="23"/>
      <c r="D271" s="24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8.75" customHeight="1" x14ac:dyDescent="0.2">
      <c r="A272" s="22"/>
      <c r="B272" s="16"/>
      <c r="C272" s="23"/>
      <c r="D272" s="24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8.75" customHeight="1" x14ac:dyDescent="0.2">
      <c r="A273" s="22"/>
      <c r="B273" s="16"/>
      <c r="C273" s="23"/>
      <c r="D273" s="24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8.75" customHeight="1" x14ac:dyDescent="0.2">
      <c r="A274" s="22"/>
      <c r="B274" s="16"/>
      <c r="C274" s="23"/>
      <c r="D274" s="24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8.75" customHeight="1" x14ac:dyDescent="0.2">
      <c r="A275" s="22"/>
      <c r="B275" s="16"/>
      <c r="C275" s="23"/>
      <c r="D275" s="24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8.75" customHeight="1" x14ac:dyDescent="0.2">
      <c r="A276" s="22"/>
      <c r="B276" s="16"/>
      <c r="C276" s="23"/>
      <c r="D276" s="2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8.75" customHeight="1" x14ac:dyDescent="0.2">
      <c r="A277" s="22"/>
      <c r="B277" s="16"/>
      <c r="C277" s="23"/>
      <c r="D277" s="24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8.75" customHeight="1" x14ac:dyDescent="0.2">
      <c r="A278" s="22"/>
      <c r="B278" s="16"/>
      <c r="C278" s="23"/>
      <c r="D278" s="24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8.75" customHeight="1" x14ac:dyDescent="0.2">
      <c r="A279" s="22"/>
      <c r="B279" s="16"/>
      <c r="C279" s="23"/>
      <c r="D279" s="24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8.75" customHeight="1" x14ac:dyDescent="0.2">
      <c r="A280" s="22"/>
      <c r="B280" s="16"/>
      <c r="C280" s="23"/>
      <c r="D280" s="24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8.75" customHeight="1" x14ac:dyDescent="0.2">
      <c r="A281" s="22"/>
      <c r="B281" s="16"/>
      <c r="C281" s="23"/>
      <c r="D281" s="24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8.75" customHeight="1" x14ac:dyDescent="0.2">
      <c r="A282" s="22"/>
      <c r="B282" s="16"/>
      <c r="C282" s="23"/>
      <c r="D282" s="24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8.75" customHeight="1" x14ac:dyDescent="0.2">
      <c r="A283" s="22"/>
      <c r="B283" s="16"/>
      <c r="C283" s="23"/>
      <c r="D283" s="24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8.75" customHeight="1" x14ac:dyDescent="0.2">
      <c r="A284" s="22"/>
      <c r="B284" s="16"/>
      <c r="C284" s="23"/>
      <c r="D284" s="24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8.75" customHeight="1" x14ac:dyDescent="0.2">
      <c r="A285" s="22"/>
      <c r="B285" s="16"/>
      <c r="C285" s="23"/>
      <c r="D285" s="24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8.75" customHeight="1" x14ac:dyDescent="0.2">
      <c r="A286" s="22"/>
      <c r="B286" s="16"/>
      <c r="C286" s="23"/>
      <c r="D286" s="24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8.75" customHeight="1" x14ac:dyDescent="0.2">
      <c r="A287" s="22"/>
      <c r="B287" s="16"/>
      <c r="C287" s="23"/>
      <c r="D287" s="24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8.75" customHeight="1" x14ac:dyDescent="0.2">
      <c r="A288" s="22"/>
      <c r="B288" s="16"/>
      <c r="C288" s="23"/>
      <c r="D288" s="24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8.75" customHeight="1" x14ac:dyDescent="0.2">
      <c r="A289" s="22"/>
      <c r="B289" s="16"/>
      <c r="C289" s="23"/>
      <c r="D289" s="24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8.75" customHeight="1" x14ac:dyDescent="0.2">
      <c r="A290" s="22"/>
      <c r="B290" s="16"/>
      <c r="C290" s="23"/>
      <c r="D290" s="24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8.75" customHeight="1" x14ac:dyDescent="0.2">
      <c r="A291" s="22"/>
      <c r="B291" s="16"/>
      <c r="C291" s="23"/>
      <c r="D291" s="24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8.75" customHeight="1" x14ac:dyDescent="0.2">
      <c r="A292" s="22"/>
      <c r="B292" s="16"/>
      <c r="C292" s="23"/>
      <c r="D292" s="24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8.75" customHeight="1" x14ac:dyDescent="0.2">
      <c r="A293" s="22"/>
      <c r="B293" s="16"/>
      <c r="C293" s="23"/>
      <c r="D293" s="24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8.75" customHeight="1" x14ac:dyDescent="0.2">
      <c r="A294" s="22"/>
      <c r="B294" s="16"/>
      <c r="C294" s="23"/>
      <c r="D294" s="24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8.75" customHeight="1" x14ac:dyDescent="0.2">
      <c r="A295" s="22"/>
      <c r="B295" s="16"/>
      <c r="C295" s="23"/>
      <c r="D295" s="24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8.75" customHeight="1" x14ac:dyDescent="0.2">
      <c r="A296" s="22"/>
      <c r="B296" s="16"/>
      <c r="C296" s="23"/>
      <c r="D296" s="24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8.75" customHeight="1" x14ac:dyDescent="0.2">
      <c r="A297" s="22"/>
      <c r="B297" s="16"/>
      <c r="C297" s="23"/>
      <c r="D297" s="24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8.75" customHeight="1" x14ac:dyDescent="0.2">
      <c r="A298" s="22"/>
      <c r="B298" s="16"/>
      <c r="C298" s="23"/>
      <c r="D298" s="24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8.75" customHeight="1" x14ac:dyDescent="0.2">
      <c r="A299" s="22"/>
      <c r="B299" s="16"/>
      <c r="C299" s="23"/>
      <c r="D299" s="24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8.75" customHeight="1" x14ac:dyDescent="0.2">
      <c r="A300" s="22"/>
      <c r="B300" s="16"/>
      <c r="C300" s="23"/>
      <c r="D300" s="24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8.75" customHeight="1" x14ac:dyDescent="0.2">
      <c r="A301" s="22"/>
      <c r="B301" s="16"/>
      <c r="C301" s="23"/>
      <c r="D301" s="24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8.75" customHeight="1" x14ac:dyDescent="0.2">
      <c r="A302" s="22"/>
      <c r="B302" s="16"/>
      <c r="C302" s="23"/>
      <c r="D302" s="24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8.75" customHeight="1" x14ac:dyDescent="0.2">
      <c r="A303" s="22"/>
      <c r="B303" s="16"/>
      <c r="C303" s="23"/>
      <c r="D303" s="24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8.75" customHeight="1" x14ac:dyDescent="0.2">
      <c r="A304" s="22"/>
      <c r="B304" s="16"/>
      <c r="C304" s="23"/>
      <c r="D304" s="24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8.75" customHeight="1" x14ac:dyDescent="0.2">
      <c r="A305" s="22"/>
      <c r="B305" s="16"/>
      <c r="C305" s="23"/>
      <c r="D305" s="24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8.75" customHeight="1" x14ac:dyDescent="0.2">
      <c r="A306" s="22"/>
      <c r="B306" s="16"/>
      <c r="C306" s="23"/>
      <c r="D306" s="24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8.75" customHeight="1" x14ac:dyDescent="0.2">
      <c r="A307" s="22"/>
      <c r="B307" s="16"/>
      <c r="C307" s="23"/>
      <c r="D307" s="2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8.75" customHeight="1" x14ac:dyDescent="0.2">
      <c r="A308" s="22"/>
      <c r="B308" s="16"/>
      <c r="C308" s="23"/>
      <c r="D308" s="24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8.75" customHeight="1" x14ac:dyDescent="0.2">
      <c r="A309" s="22"/>
      <c r="B309" s="16"/>
      <c r="C309" s="23"/>
      <c r="D309" s="24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8.75" customHeight="1" x14ac:dyDescent="0.2">
      <c r="A310" s="22"/>
      <c r="B310" s="16"/>
      <c r="C310" s="23"/>
      <c r="D310" s="24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8.75" customHeight="1" x14ac:dyDescent="0.2">
      <c r="A311" s="22"/>
      <c r="B311" s="16"/>
      <c r="C311" s="23"/>
      <c r="D311" s="2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8.75" customHeight="1" x14ac:dyDescent="0.2">
      <c r="A312" s="22"/>
      <c r="B312" s="16"/>
      <c r="C312" s="23"/>
      <c r="D312" s="2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8.75" customHeight="1" x14ac:dyDescent="0.2">
      <c r="A313" s="22"/>
      <c r="B313" s="16"/>
      <c r="C313" s="23"/>
      <c r="D313" s="2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8.75" customHeight="1" x14ac:dyDescent="0.2">
      <c r="A314" s="22"/>
      <c r="B314" s="16"/>
      <c r="C314" s="23"/>
      <c r="D314" s="2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8.75" customHeight="1" x14ac:dyDescent="0.2">
      <c r="A315" s="22"/>
      <c r="B315" s="16"/>
      <c r="C315" s="23"/>
      <c r="D315" s="2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8.75" customHeight="1" x14ac:dyDescent="0.2">
      <c r="A316" s="22"/>
      <c r="B316" s="16"/>
      <c r="C316" s="23"/>
      <c r="D316" s="2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8.75" customHeight="1" x14ac:dyDescent="0.2">
      <c r="A317" s="22"/>
      <c r="B317" s="16"/>
      <c r="C317" s="23"/>
      <c r="D317" s="2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8.75" customHeight="1" x14ac:dyDescent="0.2">
      <c r="A318" s="22"/>
      <c r="B318" s="16"/>
      <c r="C318" s="23"/>
      <c r="D318" s="2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8.75" customHeight="1" x14ac:dyDescent="0.2">
      <c r="A319" s="22"/>
      <c r="B319" s="16"/>
      <c r="C319" s="23"/>
      <c r="D319" s="2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8.75" customHeight="1" x14ac:dyDescent="0.2">
      <c r="A320" s="22"/>
      <c r="B320" s="16"/>
      <c r="C320" s="23"/>
      <c r="D320" s="2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8.75" customHeight="1" x14ac:dyDescent="0.2">
      <c r="A321" s="22"/>
      <c r="B321" s="16"/>
      <c r="C321" s="23"/>
      <c r="D321" s="2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8.75" customHeight="1" x14ac:dyDescent="0.2">
      <c r="A322" s="22"/>
      <c r="B322" s="16"/>
      <c r="C322" s="23"/>
      <c r="D322" s="2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8.75" customHeight="1" x14ac:dyDescent="0.2">
      <c r="A323" s="22"/>
      <c r="B323" s="16"/>
      <c r="C323" s="23"/>
      <c r="D323" s="2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8.75" customHeight="1" x14ac:dyDescent="0.2">
      <c r="A324" s="22"/>
      <c r="B324" s="16"/>
      <c r="C324" s="23"/>
      <c r="D324" s="2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8.75" customHeight="1" x14ac:dyDescent="0.2">
      <c r="A325" s="22"/>
      <c r="B325" s="16"/>
      <c r="C325" s="23"/>
      <c r="D325" s="2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8.75" customHeight="1" x14ac:dyDescent="0.2">
      <c r="A326" s="22"/>
      <c r="B326" s="16"/>
      <c r="C326" s="23"/>
      <c r="D326" s="2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8.75" customHeight="1" x14ac:dyDescent="0.2">
      <c r="A327" s="22"/>
      <c r="B327" s="16"/>
      <c r="C327" s="23"/>
      <c r="D327" s="2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8.75" customHeight="1" x14ac:dyDescent="0.2">
      <c r="A328" s="22"/>
      <c r="B328" s="16"/>
      <c r="C328" s="23"/>
      <c r="D328" s="2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8.75" customHeight="1" x14ac:dyDescent="0.2">
      <c r="A329" s="22"/>
      <c r="B329" s="16"/>
      <c r="C329" s="23"/>
      <c r="D329" s="2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8.75" customHeight="1" x14ac:dyDescent="0.2">
      <c r="A330" s="22"/>
      <c r="B330" s="16"/>
      <c r="C330" s="23"/>
      <c r="D330" s="2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8.75" customHeight="1" x14ac:dyDescent="0.2">
      <c r="A331" s="22"/>
      <c r="B331" s="16"/>
      <c r="C331" s="23"/>
      <c r="D331" s="2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8.75" customHeight="1" x14ac:dyDescent="0.2">
      <c r="A332" s="22"/>
      <c r="B332" s="16"/>
      <c r="C332" s="23"/>
      <c r="D332" s="2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8.75" customHeight="1" x14ac:dyDescent="0.2">
      <c r="A333" s="22"/>
      <c r="B333" s="16"/>
      <c r="C333" s="23"/>
      <c r="D333" s="2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8.75" customHeight="1" x14ac:dyDescent="0.2">
      <c r="A334" s="22"/>
      <c r="B334" s="16"/>
      <c r="C334" s="23"/>
      <c r="D334" s="2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8.75" customHeight="1" x14ac:dyDescent="0.2">
      <c r="A335" s="22"/>
      <c r="B335" s="16"/>
      <c r="C335" s="23"/>
      <c r="D335" s="2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8.75" customHeight="1" x14ac:dyDescent="0.2">
      <c r="A336" s="22"/>
      <c r="B336" s="16"/>
      <c r="C336" s="23"/>
      <c r="D336" s="2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8.75" customHeight="1" x14ac:dyDescent="0.2">
      <c r="A337" s="22"/>
      <c r="B337" s="16"/>
      <c r="C337" s="23"/>
      <c r="D337" s="2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8.75" customHeight="1" x14ac:dyDescent="0.2">
      <c r="A338" s="22"/>
      <c r="B338" s="16"/>
      <c r="C338" s="23"/>
      <c r="D338" s="2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8.75" customHeight="1" x14ac:dyDescent="0.2">
      <c r="A339" s="22"/>
      <c r="B339" s="16"/>
      <c r="C339" s="23"/>
      <c r="D339" s="2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8.75" customHeight="1" x14ac:dyDescent="0.2">
      <c r="A340" s="22"/>
      <c r="B340" s="16"/>
      <c r="C340" s="23"/>
      <c r="D340" s="2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8.75" customHeight="1" x14ac:dyDescent="0.2">
      <c r="A341" s="22"/>
      <c r="B341" s="16"/>
      <c r="C341" s="23"/>
      <c r="D341" s="2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8.75" customHeight="1" x14ac:dyDescent="0.2">
      <c r="A342" s="22"/>
      <c r="B342" s="16"/>
      <c r="C342" s="23"/>
      <c r="D342" s="2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8.75" customHeight="1" x14ac:dyDescent="0.2">
      <c r="A343" s="22"/>
      <c r="B343" s="16"/>
      <c r="C343" s="23"/>
      <c r="D343" s="2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8.75" customHeight="1" x14ac:dyDescent="0.2">
      <c r="A344" s="22"/>
      <c r="B344" s="16"/>
      <c r="C344" s="23"/>
      <c r="D344" s="2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8.75" customHeight="1" x14ac:dyDescent="0.2">
      <c r="A345" s="22"/>
      <c r="B345" s="16"/>
      <c r="C345" s="23"/>
      <c r="D345" s="2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8.75" customHeight="1" x14ac:dyDescent="0.2">
      <c r="A346" s="22"/>
      <c r="B346" s="16"/>
      <c r="C346" s="23"/>
      <c r="D346" s="2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8.75" customHeight="1" x14ac:dyDescent="0.2">
      <c r="A347" s="22"/>
      <c r="B347" s="16"/>
      <c r="C347" s="23"/>
      <c r="D347" s="2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8.75" customHeight="1" x14ac:dyDescent="0.2">
      <c r="A348" s="22"/>
      <c r="B348" s="16"/>
      <c r="C348" s="23"/>
      <c r="D348" s="2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8.75" customHeight="1" x14ac:dyDescent="0.2">
      <c r="A349" s="22"/>
      <c r="B349" s="16"/>
      <c r="C349" s="23"/>
      <c r="D349" s="2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8.75" customHeight="1" x14ac:dyDescent="0.2">
      <c r="A350" s="22"/>
      <c r="B350" s="16"/>
      <c r="C350" s="23"/>
      <c r="D350" s="2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8.75" customHeight="1" x14ac:dyDescent="0.2">
      <c r="A351" s="22"/>
      <c r="B351" s="16"/>
      <c r="C351" s="23"/>
      <c r="D351" s="2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8.75" customHeight="1" x14ac:dyDescent="0.2">
      <c r="A352" s="22"/>
      <c r="B352" s="16"/>
      <c r="C352" s="23"/>
      <c r="D352" s="2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8.75" customHeight="1" x14ac:dyDescent="0.2">
      <c r="A353" s="22"/>
      <c r="B353" s="16"/>
      <c r="C353" s="23"/>
      <c r="D353" s="2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8.75" customHeight="1" x14ac:dyDescent="0.2">
      <c r="A354" s="22"/>
      <c r="B354" s="16"/>
      <c r="C354" s="23"/>
      <c r="D354" s="2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8.75" customHeight="1" x14ac:dyDescent="0.2">
      <c r="A355" s="22"/>
      <c r="B355" s="16"/>
      <c r="C355" s="23"/>
      <c r="D355" s="2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8.75" customHeight="1" x14ac:dyDescent="0.2">
      <c r="A356" s="22"/>
      <c r="B356" s="16"/>
      <c r="C356" s="23"/>
      <c r="D356" s="2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8.75" customHeight="1" x14ac:dyDescent="0.2">
      <c r="A357" s="22"/>
      <c r="B357" s="16"/>
      <c r="C357" s="23"/>
      <c r="D357" s="2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8.75" customHeight="1" x14ac:dyDescent="0.2">
      <c r="A358" s="22"/>
      <c r="B358" s="16"/>
      <c r="C358" s="23"/>
      <c r="D358" s="2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8.75" customHeight="1" x14ac:dyDescent="0.2">
      <c r="A359" s="22"/>
      <c r="B359" s="16"/>
      <c r="C359" s="23"/>
      <c r="D359" s="2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8.75" customHeight="1" x14ac:dyDescent="0.2">
      <c r="A360" s="22"/>
      <c r="B360" s="16"/>
      <c r="C360" s="23"/>
      <c r="D360" s="2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8.75" customHeight="1" x14ac:dyDescent="0.2">
      <c r="A361" s="22"/>
      <c r="B361" s="16"/>
      <c r="C361" s="23"/>
      <c r="D361" s="2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8.75" customHeight="1" x14ac:dyDescent="0.2">
      <c r="A362" s="22"/>
      <c r="B362" s="16"/>
      <c r="C362" s="23"/>
      <c r="D362" s="2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8.75" customHeight="1" x14ac:dyDescent="0.2">
      <c r="A363" s="22"/>
      <c r="B363" s="16"/>
      <c r="C363" s="23"/>
      <c r="D363" s="2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8.75" customHeight="1" x14ac:dyDescent="0.2">
      <c r="A364" s="22"/>
      <c r="B364" s="16"/>
      <c r="C364" s="23"/>
      <c r="D364" s="2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8.75" customHeight="1" x14ac:dyDescent="0.2">
      <c r="A365" s="22"/>
      <c r="B365" s="16"/>
      <c r="C365" s="23"/>
      <c r="D365" s="2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8.75" customHeight="1" x14ac:dyDescent="0.2">
      <c r="A366" s="22"/>
      <c r="B366" s="16"/>
      <c r="C366" s="23"/>
      <c r="D366" s="2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8.75" customHeight="1" x14ac:dyDescent="0.2">
      <c r="A367" s="22"/>
      <c r="B367" s="16"/>
      <c r="C367" s="23"/>
      <c r="D367" s="2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8.75" customHeight="1" x14ac:dyDescent="0.2">
      <c r="A368" s="22"/>
      <c r="B368" s="16"/>
      <c r="C368" s="23"/>
      <c r="D368" s="2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8.75" customHeight="1" x14ac:dyDescent="0.2">
      <c r="A369" s="22"/>
      <c r="B369" s="16"/>
      <c r="C369" s="23"/>
      <c r="D369" s="2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8.75" customHeight="1" x14ac:dyDescent="0.2">
      <c r="A370" s="22"/>
      <c r="B370" s="16"/>
      <c r="C370" s="23"/>
      <c r="D370" s="2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8.75" customHeight="1" x14ac:dyDescent="0.2">
      <c r="A371" s="22"/>
      <c r="B371" s="16"/>
      <c r="C371" s="23"/>
      <c r="D371" s="2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8.75" customHeight="1" x14ac:dyDescent="0.2">
      <c r="A372" s="22"/>
      <c r="B372" s="16"/>
      <c r="C372" s="23"/>
      <c r="D372" s="2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8.75" customHeight="1" x14ac:dyDescent="0.2">
      <c r="A373" s="22"/>
      <c r="B373" s="16"/>
      <c r="C373" s="23"/>
      <c r="D373" s="2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8.75" customHeight="1" x14ac:dyDescent="0.2">
      <c r="A374" s="22"/>
      <c r="B374" s="16"/>
      <c r="C374" s="23"/>
      <c r="D374" s="2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8.75" customHeight="1" x14ac:dyDescent="0.2">
      <c r="A375" s="22"/>
      <c r="B375" s="16"/>
      <c r="C375" s="23"/>
      <c r="D375" s="2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8.75" customHeight="1" x14ac:dyDescent="0.2">
      <c r="A376" s="22"/>
      <c r="B376" s="16"/>
      <c r="C376" s="23"/>
      <c r="D376" s="2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8.75" customHeight="1" x14ac:dyDescent="0.2">
      <c r="A377" s="22"/>
      <c r="B377" s="16"/>
      <c r="C377" s="23"/>
      <c r="D377" s="2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8.75" customHeight="1" x14ac:dyDescent="0.2">
      <c r="A378" s="22"/>
      <c r="B378" s="16"/>
      <c r="C378" s="23"/>
      <c r="D378" s="2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8.75" customHeight="1" x14ac:dyDescent="0.2">
      <c r="A379" s="22"/>
      <c r="B379" s="16"/>
      <c r="C379" s="23"/>
      <c r="D379" s="2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8.75" customHeight="1" x14ac:dyDescent="0.2">
      <c r="A380" s="22"/>
      <c r="B380" s="16"/>
      <c r="C380" s="23"/>
      <c r="D380" s="2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8.75" customHeight="1" x14ac:dyDescent="0.2">
      <c r="A381" s="22"/>
      <c r="B381" s="16"/>
      <c r="C381" s="23"/>
      <c r="D381" s="2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8.75" customHeight="1" x14ac:dyDescent="0.2">
      <c r="A382" s="22"/>
      <c r="B382" s="16"/>
      <c r="C382" s="23"/>
      <c r="D382" s="2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8.75" customHeight="1" x14ac:dyDescent="0.2">
      <c r="A383" s="22"/>
      <c r="B383" s="16"/>
      <c r="C383" s="23"/>
      <c r="D383" s="2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8.75" customHeight="1" x14ac:dyDescent="0.2">
      <c r="A384" s="22"/>
      <c r="B384" s="16"/>
      <c r="C384" s="23"/>
      <c r="D384" s="2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8.75" customHeight="1" x14ac:dyDescent="0.2">
      <c r="A385" s="22"/>
      <c r="B385" s="16"/>
      <c r="C385" s="23"/>
      <c r="D385" s="2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8.75" customHeight="1" x14ac:dyDescent="0.2">
      <c r="A386" s="22"/>
      <c r="B386" s="16"/>
      <c r="C386" s="23"/>
      <c r="D386" s="2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8.75" customHeight="1" x14ac:dyDescent="0.2">
      <c r="A387" s="22"/>
      <c r="B387" s="16"/>
      <c r="C387" s="23"/>
      <c r="D387" s="2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8.75" customHeight="1" x14ac:dyDescent="0.2">
      <c r="A388" s="22"/>
      <c r="B388" s="16"/>
      <c r="C388" s="23"/>
      <c r="D388" s="2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8.75" customHeight="1" x14ac:dyDescent="0.2">
      <c r="A389" s="22"/>
      <c r="B389" s="16"/>
      <c r="C389" s="23"/>
      <c r="D389" s="2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8.75" customHeight="1" x14ac:dyDescent="0.2">
      <c r="A390" s="22"/>
      <c r="B390" s="16"/>
      <c r="C390" s="23"/>
      <c r="D390" s="2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8.75" customHeight="1" x14ac:dyDescent="0.2">
      <c r="A391" s="22"/>
      <c r="B391" s="16"/>
      <c r="C391" s="23"/>
      <c r="D391" s="2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8.75" customHeight="1" x14ac:dyDescent="0.2">
      <c r="A392" s="22"/>
      <c r="B392" s="16"/>
      <c r="C392" s="23"/>
      <c r="D392" s="2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8.75" customHeight="1" x14ac:dyDescent="0.2">
      <c r="A393" s="22"/>
      <c r="B393" s="16"/>
      <c r="C393" s="23"/>
      <c r="D393" s="2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8.75" customHeight="1" x14ac:dyDescent="0.2">
      <c r="A394" s="22"/>
      <c r="B394" s="16"/>
      <c r="C394" s="23"/>
      <c r="D394" s="2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8.75" customHeight="1" x14ac:dyDescent="0.2">
      <c r="A395" s="22"/>
      <c r="B395" s="16"/>
      <c r="C395" s="23"/>
      <c r="D395" s="2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8.75" customHeight="1" x14ac:dyDescent="0.2">
      <c r="A396" s="22"/>
      <c r="B396" s="16"/>
      <c r="C396" s="23"/>
      <c r="D396" s="2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8.75" customHeight="1" x14ac:dyDescent="0.2">
      <c r="A397" s="22"/>
      <c r="B397" s="16"/>
      <c r="C397" s="23"/>
      <c r="D397" s="2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8.75" customHeight="1" x14ac:dyDescent="0.2">
      <c r="A398" s="22"/>
      <c r="B398" s="16"/>
      <c r="C398" s="23"/>
      <c r="D398" s="2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8.75" customHeight="1" x14ac:dyDescent="0.2">
      <c r="A399" s="22"/>
      <c r="B399" s="16"/>
      <c r="C399" s="23"/>
      <c r="D399" s="2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8.75" customHeight="1" x14ac:dyDescent="0.2">
      <c r="A400" s="22"/>
      <c r="B400" s="16"/>
      <c r="C400" s="23"/>
      <c r="D400" s="2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8.75" customHeight="1" x14ac:dyDescent="0.2">
      <c r="A401" s="22"/>
      <c r="B401" s="16"/>
      <c r="C401" s="23"/>
      <c r="D401" s="24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8.75" customHeight="1" x14ac:dyDescent="0.2">
      <c r="A402" s="22"/>
      <c r="B402" s="16"/>
      <c r="C402" s="23"/>
      <c r="D402" s="24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8.75" customHeight="1" x14ac:dyDescent="0.2">
      <c r="A403" s="22"/>
      <c r="B403" s="16"/>
      <c r="C403" s="23"/>
      <c r="D403" s="2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8.75" customHeight="1" x14ac:dyDescent="0.2">
      <c r="A404" s="22"/>
      <c r="B404" s="16"/>
      <c r="C404" s="23"/>
      <c r="D404" s="24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8.75" customHeight="1" x14ac:dyDescent="0.2">
      <c r="A405" s="22"/>
      <c r="B405" s="16"/>
      <c r="C405" s="23"/>
      <c r="D405" s="24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8.75" customHeight="1" x14ac:dyDescent="0.2">
      <c r="A406" s="22"/>
      <c r="B406" s="16"/>
      <c r="C406" s="23"/>
      <c r="D406" s="2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8.75" customHeight="1" x14ac:dyDescent="0.2">
      <c r="A407" s="22"/>
      <c r="B407" s="16"/>
      <c r="C407" s="23"/>
      <c r="D407" s="24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8.75" customHeight="1" x14ac:dyDescent="0.2">
      <c r="A408" s="22"/>
      <c r="B408" s="16"/>
      <c r="C408" s="23"/>
      <c r="D408" s="24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8.75" customHeight="1" x14ac:dyDescent="0.2">
      <c r="A409" s="22"/>
      <c r="B409" s="16"/>
      <c r="C409" s="23"/>
      <c r="D409" s="24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8.75" customHeight="1" x14ac:dyDescent="0.2">
      <c r="A410" s="22"/>
      <c r="B410" s="16"/>
      <c r="C410" s="23"/>
      <c r="D410" s="24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8.75" customHeight="1" x14ac:dyDescent="0.2">
      <c r="A411" s="22"/>
      <c r="B411" s="16"/>
      <c r="C411" s="23"/>
      <c r="D411" s="24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8.75" customHeight="1" x14ac:dyDescent="0.2">
      <c r="A412" s="22"/>
      <c r="B412" s="16"/>
      <c r="C412" s="23"/>
      <c r="D412" s="24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8.75" customHeight="1" x14ac:dyDescent="0.2">
      <c r="A413" s="22"/>
      <c r="B413" s="16"/>
      <c r="C413" s="23"/>
      <c r="D413" s="24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8.75" customHeight="1" x14ac:dyDescent="0.2">
      <c r="A414" s="22"/>
      <c r="B414" s="16"/>
      <c r="C414" s="23"/>
      <c r="D414" s="24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8.75" customHeight="1" x14ac:dyDescent="0.2">
      <c r="A415" s="22"/>
      <c r="B415" s="16"/>
      <c r="C415" s="23"/>
      <c r="D415" s="24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8.75" customHeight="1" x14ac:dyDescent="0.2">
      <c r="A416" s="22"/>
      <c r="B416" s="16"/>
      <c r="C416" s="23"/>
      <c r="D416" s="24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8.75" customHeight="1" x14ac:dyDescent="0.2">
      <c r="A417" s="22"/>
      <c r="B417" s="16"/>
      <c r="C417" s="23"/>
      <c r="D417" s="24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8.75" customHeight="1" x14ac:dyDescent="0.2">
      <c r="A418" s="22"/>
      <c r="B418" s="16"/>
      <c r="C418" s="23"/>
      <c r="D418" s="24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8.75" customHeight="1" x14ac:dyDescent="0.2">
      <c r="A419" s="22"/>
      <c r="B419" s="16"/>
      <c r="C419" s="23"/>
      <c r="D419" s="24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8.75" customHeight="1" x14ac:dyDescent="0.2">
      <c r="A420" s="22"/>
      <c r="B420" s="16"/>
      <c r="C420" s="23"/>
      <c r="D420" s="24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8.75" customHeight="1" x14ac:dyDescent="0.2">
      <c r="A421" s="22"/>
      <c r="B421" s="16"/>
      <c r="C421" s="23"/>
      <c r="D421" s="24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8.75" customHeight="1" x14ac:dyDescent="0.2">
      <c r="A422" s="22"/>
      <c r="B422" s="16"/>
      <c r="C422" s="23"/>
      <c r="D422" s="24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8.75" customHeight="1" x14ac:dyDescent="0.2">
      <c r="A423" s="22"/>
      <c r="B423" s="16"/>
      <c r="C423" s="23"/>
      <c r="D423" s="2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8.75" customHeight="1" x14ac:dyDescent="0.2">
      <c r="A424" s="22"/>
      <c r="B424" s="16"/>
      <c r="C424" s="23"/>
      <c r="D424" s="2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8.75" customHeight="1" x14ac:dyDescent="0.2">
      <c r="A425" s="22"/>
      <c r="B425" s="16"/>
      <c r="C425" s="23"/>
      <c r="D425" s="2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8.75" customHeight="1" x14ac:dyDescent="0.2">
      <c r="A426" s="22"/>
      <c r="B426" s="16"/>
      <c r="C426" s="23"/>
      <c r="D426" s="24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8.75" customHeight="1" x14ac:dyDescent="0.2">
      <c r="A427" s="22"/>
      <c r="B427" s="16"/>
      <c r="C427" s="23"/>
      <c r="D427" s="24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8.75" customHeight="1" x14ac:dyDescent="0.2">
      <c r="A428" s="22"/>
      <c r="B428" s="16"/>
      <c r="C428" s="23"/>
      <c r="D428" s="24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8.75" customHeight="1" x14ac:dyDescent="0.2">
      <c r="A429" s="22"/>
      <c r="B429" s="16"/>
      <c r="C429" s="23"/>
      <c r="D429" s="24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8.75" customHeight="1" x14ac:dyDescent="0.2">
      <c r="A430" s="22"/>
      <c r="B430" s="16"/>
      <c r="C430" s="23"/>
      <c r="D430" s="24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8.75" customHeight="1" x14ac:dyDescent="0.2">
      <c r="A431" s="22"/>
      <c r="B431" s="16"/>
      <c r="C431" s="23"/>
      <c r="D431" s="24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8.75" customHeight="1" x14ac:dyDescent="0.2">
      <c r="A432" s="22"/>
      <c r="B432" s="16"/>
      <c r="C432" s="23"/>
      <c r="D432" s="24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8.75" customHeight="1" x14ac:dyDescent="0.2">
      <c r="A433" s="22"/>
      <c r="B433" s="16"/>
      <c r="C433" s="23"/>
      <c r="D433" s="24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8.75" customHeight="1" x14ac:dyDescent="0.2">
      <c r="A434" s="22"/>
      <c r="B434" s="16"/>
      <c r="C434" s="23"/>
      <c r="D434" s="24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8.75" customHeight="1" x14ac:dyDescent="0.2">
      <c r="A435" s="22"/>
      <c r="B435" s="16"/>
      <c r="C435" s="23"/>
      <c r="D435" s="24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8.75" customHeight="1" x14ac:dyDescent="0.2">
      <c r="A436" s="22"/>
      <c r="B436" s="16"/>
      <c r="C436" s="23"/>
      <c r="D436" s="24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8.75" customHeight="1" x14ac:dyDescent="0.2">
      <c r="A437" s="22"/>
      <c r="B437" s="16"/>
      <c r="C437" s="23"/>
      <c r="D437" s="24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8.75" customHeight="1" x14ac:dyDescent="0.2">
      <c r="A438" s="22"/>
      <c r="B438" s="16"/>
      <c r="C438" s="23"/>
      <c r="D438" s="24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8.75" customHeight="1" x14ac:dyDescent="0.2">
      <c r="A439" s="22"/>
      <c r="B439" s="16"/>
      <c r="C439" s="23"/>
      <c r="D439" s="2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8.75" customHeight="1" x14ac:dyDescent="0.2">
      <c r="A440" s="22"/>
      <c r="B440" s="16"/>
      <c r="C440" s="23"/>
      <c r="D440" s="24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8.75" customHeight="1" x14ac:dyDescent="0.2">
      <c r="A441" s="22"/>
      <c r="B441" s="16"/>
      <c r="C441" s="23"/>
      <c r="D441" s="24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8.75" customHeight="1" x14ac:dyDescent="0.2">
      <c r="A442" s="22"/>
      <c r="B442" s="16"/>
      <c r="C442" s="23"/>
      <c r="D442" s="24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8.75" customHeight="1" x14ac:dyDescent="0.2">
      <c r="A443" s="22"/>
      <c r="B443" s="16"/>
      <c r="C443" s="23"/>
      <c r="D443" s="24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8.75" customHeight="1" x14ac:dyDescent="0.2">
      <c r="A444" s="22"/>
      <c r="B444" s="16"/>
      <c r="C444" s="23"/>
      <c r="D444" s="24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8.75" customHeight="1" x14ac:dyDescent="0.2">
      <c r="A445" s="22"/>
      <c r="B445" s="16"/>
      <c r="C445" s="23"/>
      <c r="D445" s="24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8.75" customHeight="1" x14ac:dyDescent="0.2">
      <c r="A446" s="22"/>
      <c r="B446" s="16"/>
      <c r="C446" s="23"/>
      <c r="D446" s="24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8.75" customHeight="1" x14ac:dyDescent="0.2">
      <c r="A447" s="22"/>
      <c r="B447" s="16"/>
      <c r="C447" s="23"/>
      <c r="D447" s="24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8.75" customHeight="1" x14ac:dyDescent="0.2">
      <c r="A448" s="22"/>
      <c r="B448" s="16"/>
      <c r="C448" s="23"/>
      <c r="D448" s="2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8.75" customHeight="1" x14ac:dyDescent="0.2">
      <c r="A449" s="22"/>
      <c r="B449" s="16"/>
      <c r="C449" s="23"/>
      <c r="D449" s="24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8.75" customHeight="1" x14ac:dyDescent="0.2">
      <c r="A450" s="22"/>
      <c r="B450" s="16"/>
      <c r="C450" s="23"/>
      <c r="D450" s="24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8.75" customHeight="1" x14ac:dyDescent="0.2">
      <c r="A451" s="22"/>
      <c r="B451" s="16"/>
      <c r="C451" s="23"/>
      <c r="D451" s="24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8.75" customHeight="1" x14ac:dyDescent="0.2">
      <c r="A452" s="22"/>
      <c r="B452" s="16"/>
      <c r="C452" s="23"/>
      <c r="D452" s="24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8.75" customHeight="1" x14ac:dyDescent="0.2">
      <c r="A453" s="22"/>
      <c r="B453" s="16"/>
      <c r="C453" s="23"/>
      <c r="D453" s="24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8.75" customHeight="1" x14ac:dyDescent="0.2">
      <c r="A454" s="22"/>
      <c r="B454" s="16"/>
      <c r="C454" s="23"/>
      <c r="D454" s="24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8.75" customHeight="1" x14ac:dyDescent="0.2">
      <c r="A455" s="22"/>
      <c r="B455" s="16"/>
      <c r="C455" s="23"/>
      <c r="D455" s="24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8.75" customHeight="1" x14ac:dyDescent="0.2">
      <c r="A456" s="22"/>
      <c r="B456" s="16"/>
      <c r="C456" s="23"/>
      <c r="D456" s="24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8.75" customHeight="1" x14ac:dyDescent="0.2">
      <c r="A457" s="22"/>
      <c r="B457" s="16"/>
      <c r="C457" s="23"/>
      <c r="D457" s="24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8.75" customHeight="1" x14ac:dyDescent="0.2">
      <c r="A458" s="22"/>
      <c r="B458" s="16"/>
      <c r="C458" s="23"/>
      <c r="D458" s="24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8.75" customHeight="1" x14ac:dyDescent="0.2">
      <c r="A459" s="22"/>
      <c r="B459" s="16"/>
      <c r="C459" s="23"/>
      <c r="D459" s="24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8.75" customHeight="1" x14ac:dyDescent="0.2">
      <c r="A460" s="22"/>
      <c r="B460" s="16"/>
      <c r="C460" s="23"/>
      <c r="D460" s="24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8.75" customHeight="1" x14ac:dyDescent="0.2">
      <c r="A461" s="22"/>
      <c r="B461" s="16"/>
      <c r="C461" s="23"/>
      <c r="D461" s="24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8.75" customHeight="1" x14ac:dyDescent="0.2">
      <c r="A462" s="22"/>
      <c r="B462" s="16"/>
      <c r="C462" s="23"/>
      <c r="D462" s="24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8.75" customHeight="1" x14ac:dyDescent="0.2">
      <c r="A463" s="22"/>
      <c r="B463" s="16"/>
      <c r="C463" s="23"/>
      <c r="D463" s="24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8.75" customHeight="1" x14ac:dyDescent="0.2">
      <c r="A464" s="22"/>
      <c r="B464" s="16"/>
      <c r="C464" s="23"/>
      <c r="D464" s="24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8.75" customHeight="1" x14ac:dyDescent="0.2">
      <c r="A465" s="22"/>
      <c r="B465" s="16"/>
      <c r="C465" s="23"/>
      <c r="D465" s="24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8.75" customHeight="1" x14ac:dyDescent="0.2">
      <c r="A466" s="22"/>
      <c r="B466" s="16"/>
      <c r="C466" s="23"/>
      <c r="D466" s="24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8.75" customHeight="1" x14ac:dyDescent="0.2">
      <c r="A467" s="22"/>
      <c r="B467" s="16"/>
      <c r="C467" s="23"/>
      <c r="D467" s="24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8.75" customHeight="1" x14ac:dyDescent="0.2">
      <c r="A468" s="22"/>
      <c r="B468" s="16"/>
      <c r="C468" s="23"/>
      <c r="D468" s="24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8.75" customHeight="1" x14ac:dyDescent="0.2">
      <c r="A469" s="22"/>
      <c r="B469" s="16"/>
      <c r="C469" s="23"/>
      <c r="D469" s="24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8.75" customHeight="1" x14ac:dyDescent="0.2">
      <c r="A470" s="22"/>
      <c r="B470" s="16"/>
      <c r="C470" s="23"/>
      <c r="D470" s="24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8.75" customHeight="1" x14ac:dyDescent="0.2">
      <c r="A471" s="22"/>
      <c r="B471" s="16"/>
      <c r="C471" s="23"/>
      <c r="D471" s="24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8.75" customHeight="1" x14ac:dyDescent="0.2">
      <c r="A472" s="22"/>
      <c r="B472" s="16"/>
      <c r="C472" s="23"/>
      <c r="D472" s="24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8.75" customHeight="1" x14ac:dyDescent="0.2">
      <c r="A473" s="22"/>
      <c r="B473" s="16"/>
      <c r="C473" s="23"/>
      <c r="D473" s="24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8.75" customHeight="1" x14ac:dyDescent="0.2">
      <c r="A474" s="22"/>
      <c r="B474" s="16"/>
      <c r="C474" s="23"/>
      <c r="D474" s="24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8.75" customHeight="1" x14ac:dyDescent="0.2">
      <c r="A475" s="22"/>
      <c r="B475" s="16"/>
      <c r="C475" s="23"/>
      <c r="D475" s="24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8.75" customHeight="1" x14ac:dyDescent="0.2">
      <c r="A476" s="22"/>
      <c r="B476" s="16"/>
      <c r="C476" s="23"/>
      <c r="D476" s="24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8.75" customHeight="1" x14ac:dyDescent="0.2">
      <c r="A477" s="22"/>
      <c r="B477" s="16"/>
      <c r="C477" s="23"/>
      <c r="D477" s="2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8.75" customHeight="1" x14ac:dyDescent="0.2">
      <c r="A478" s="22"/>
      <c r="B478" s="16"/>
      <c r="C478" s="23"/>
      <c r="D478" s="2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8.75" customHeight="1" x14ac:dyDescent="0.2">
      <c r="A479" s="22"/>
      <c r="B479" s="16"/>
      <c r="C479" s="23"/>
      <c r="D479" s="2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8.75" customHeight="1" x14ac:dyDescent="0.2">
      <c r="A480" s="22"/>
      <c r="B480" s="16"/>
      <c r="C480" s="23"/>
      <c r="D480" s="24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8.75" customHeight="1" x14ac:dyDescent="0.2">
      <c r="A481" s="22"/>
      <c r="B481" s="16"/>
      <c r="C481" s="23"/>
      <c r="D481" s="24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8.75" customHeight="1" x14ac:dyDescent="0.2">
      <c r="A482" s="22"/>
      <c r="B482" s="16"/>
      <c r="C482" s="23"/>
      <c r="D482" s="24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8.75" customHeight="1" x14ac:dyDescent="0.2">
      <c r="A483" s="22"/>
      <c r="B483" s="16"/>
      <c r="C483" s="23"/>
      <c r="D483" s="24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8.75" customHeight="1" x14ac:dyDescent="0.2">
      <c r="A484" s="22"/>
      <c r="B484" s="16"/>
      <c r="C484" s="23"/>
      <c r="D484" s="24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8.75" customHeight="1" x14ac:dyDescent="0.2">
      <c r="A485" s="22"/>
      <c r="B485" s="16"/>
      <c r="C485" s="23"/>
      <c r="D485" s="24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8.75" customHeight="1" x14ac:dyDescent="0.2">
      <c r="A486" s="22"/>
      <c r="B486" s="16"/>
      <c r="C486" s="23"/>
      <c r="D486" s="24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8.75" customHeight="1" x14ac:dyDescent="0.2">
      <c r="A487" s="22"/>
      <c r="B487" s="16"/>
      <c r="C487" s="23"/>
      <c r="D487" s="24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8.75" customHeight="1" x14ac:dyDescent="0.2">
      <c r="A488" s="22"/>
      <c r="B488" s="16"/>
      <c r="C488" s="23"/>
      <c r="D488" s="24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8.75" customHeight="1" x14ac:dyDescent="0.2">
      <c r="A489" s="22"/>
      <c r="B489" s="16"/>
      <c r="C489" s="23"/>
      <c r="D489" s="24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8.75" customHeight="1" x14ac:dyDescent="0.2">
      <c r="A490" s="22"/>
      <c r="B490" s="16"/>
      <c r="C490" s="23"/>
      <c r="D490" s="24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8.75" customHeight="1" x14ac:dyDescent="0.2">
      <c r="A491" s="22"/>
      <c r="B491" s="16"/>
      <c r="C491" s="23"/>
      <c r="D491" s="24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8.75" customHeight="1" x14ac:dyDescent="0.2">
      <c r="A492" s="22"/>
      <c r="B492" s="16"/>
      <c r="C492" s="23"/>
      <c r="D492" s="24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8.75" customHeight="1" x14ac:dyDescent="0.2">
      <c r="A493" s="22"/>
      <c r="B493" s="16"/>
      <c r="C493" s="23"/>
      <c r="D493" s="24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8.75" customHeight="1" x14ac:dyDescent="0.2">
      <c r="A494" s="22"/>
      <c r="B494" s="16"/>
      <c r="C494" s="23"/>
      <c r="D494" s="24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8.75" customHeight="1" x14ac:dyDescent="0.2">
      <c r="A495" s="22"/>
      <c r="B495" s="16"/>
      <c r="C495" s="23"/>
      <c r="D495" s="24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8.75" customHeight="1" x14ac:dyDescent="0.2">
      <c r="A496" s="22"/>
      <c r="B496" s="16"/>
      <c r="C496" s="23"/>
      <c r="D496" s="24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8.75" customHeight="1" x14ac:dyDescent="0.2">
      <c r="A497" s="22"/>
      <c r="B497" s="16"/>
      <c r="C497" s="23"/>
      <c r="D497" s="24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8.75" customHeight="1" x14ac:dyDescent="0.2">
      <c r="A498" s="22"/>
      <c r="B498" s="16"/>
      <c r="C498" s="23"/>
      <c r="D498" s="24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8.75" customHeight="1" x14ac:dyDescent="0.2">
      <c r="A499" s="22"/>
      <c r="B499" s="16"/>
      <c r="C499" s="23"/>
      <c r="D499" s="24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8.75" customHeight="1" x14ac:dyDescent="0.2">
      <c r="A500" s="22"/>
      <c r="B500" s="16"/>
      <c r="C500" s="23"/>
      <c r="D500" s="24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8.75" customHeight="1" x14ac:dyDescent="0.2">
      <c r="A501" s="22"/>
      <c r="B501" s="16"/>
      <c r="C501" s="23"/>
      <c r="D501" s="24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8.75" customHeight="1" x14ac:dyDescent="0.2">
      <c r="A502" s="22"/>
      <c r="B502" s="16"/>
      <c r="C502" s="23"/>
      <c r="D502" s="2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8.75" customHeight="1" x14ac:dyDescent="0.2">
      <c r="A503" s="22"/>
      <c r="B503" s="16"/>
      <c r="C503" s="23"/>
      <c r="D503" s="24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8.75" customHeight="1" x14ac:dyDescent="0.2">
      <c r="A504" s="22"/>
      <c r="B504" s="16"/>
      <c r="C504" s="23"/>
      <c r="D504" s="24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8.75" customHeight="1" x14ac:dyDescent="0.2">
      <c r="A505" s="22"/>
      <c r="B505" s="16"/>
      <c r="C505" s="23"/>
      <c r="D505" s="2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8.75" customHeight="1" x14ac:dyDescent="0.2">
      <c r="A506" s="22"/>
      <c r="B506" s="16"/>
      <c r="C506" s="23"/>
      <c r="D506" s="24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8.75" customHeight="1" x14ac:dyDescent="0.2">
      <c r="A507" s="22"/>
      <c r="B507" s="16"/>
      <c r="C507" s="23"/>
      <c r="D507" s="24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8.75" customHeight="1" x14ac:dyDescent="0.2">
      <c r="A508" s="22"/>
      <c r="B508" s="16"/>
      <c r="C508" s="23"/>
      <c r="D508" s="24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8.75" customHeight="1" x14ac:dyDescent="0.2">
      <c r="A509" s="22"/>
      <c r="B509" s="16"/>
      <c r="C509" s="23"/>
      <c r="D509" s="24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8.75" customHeight="1" x14ac:dyDescent="0.2">
      <c r="A510" s="22"/>
      <c r="B510" s="16"/>
      <c r="C510" s="23"/>
      <c r="D510" s="24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8.75" customHeight="1" x14ac:dyDescent="0.2">
      <c r="A511" s="22"/>
      <c r="B511" s="16"/>
      <c r="C511" s="23"/>
      <c r="D511" s="24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8.75" customHeight="1" x14ac:dyDescent="0.2">
      <c r="A512" s="22"/>
      <c r="B512" s="16"/>
      <c r="C512" s="23"/>
      <c r="D512" s="24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8.75" customHeight="1" x14ac:dyDescent="0.2">
      <c r="A513" s="22"/>
      <c r="B513" s="16"/>
      <c r="C513" s="23"/>
      <c r="D513" s="24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8.75" customHeight="1" x14ac:dyDescent="0.2">
      <c r="A514" s="22"/>
      <c r="B514" s="16"/>
      <c r="C514" s="23"/>
      <c r="D514" s="24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8.75" customHeight="1" x14ac:dyDescent="0.2">
      <c r="A515" s="22"/>
      <c r="B515" s="16"/>
      <c r="C515" s="23"/>
      <c r="D515" s="24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8.75" customHeight="1" x14ac:dyDescent="0.2">
      <c r="A516" s="22"/>
      <c r="B516" s="16"/>
      <c r="C516" s="23"/>
      <c r="D516" s="24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8.75" customHeight="1" x14ac:dyDescent="0.2">
      <c r="A517" s="22"/>
      <c r="B517" s="16"/>
      <c r="C517" s="23"/>
      <c r="D517" s="24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8.75" customHeight="1" x14ac:dyDescent="0.2">
      <c r="A518" s="22"/>
      <c r="B518" s="16"/>
      <c r="C518" s="23"/>
      <c r="D518" s="24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8.75" customHeight="1" x14ac:dyDescent="0.2">
      <c r="A519" s="22"/>
      <c r="B519" s="16"/>
      <c r="C519" s="23"/>
      <c r="D519" s="24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8.75" customHeight="1" x14ac:dyDescent="0.2">
      <c r="A520" s="22"/>
      <c r="B520" s="16"/>
      <c r="C520" s="23"/>
      <c r="D520" s="24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8.75" customHeight="1" x14ac:dyDescent="0.2">
      <c r="A521" s="22"/>
      <c r="B521" s="16"/>
      <c r="C521" s="23"/>
      <c r="D521" s="24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8.75" customHeight="1" x14ac:dyDescent="0.2">
      <c r="A522" s="22"/>
      <c r="B522" s="16"/>
      <c r="C522" s="23"/>
      <c r="D522" s="24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8.75" customHeight="1" x14ac:dyDescent="0.2">
      <c r="A523" s="22"/>
      <c r="B523" s="16"/>
      <c r="C523" s="23"/>
      <c r="D523" s="24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8.75" customHeight="1" x14ac:dyDescent="0.2">
      <c r="A524" s="22"/>
      <c r="B524" s="16"/>
      <c r="C524" s="23"/>
      <c r="D524" s="2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8.75" customHeight="1" x14ac:dyDescent="0.2">
      <c r="A525" s="22"/>
      <c r="B525" s="16"/>
      <c r="C525" s="23"/>
      <c r="D525" s="24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8.75" customHeight="1" x14ac:dyDescent="0.2">
      <c r="A526" s="22"/>
      <c r="B526" s="16"/>
      <c r="C526" s="23"/>
      <c r="D526" s="24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8.75" customHeight="1" x14ac:dyDescent="0.2">
      <c r="A527" s="22"/>
      <c r="B527" s="16"/>
      <c r="C527" s="23"/>
      <c r="D527" s="24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8.75" customHeight="1" x14ac:dyDescent="0.2">
      <c r="A528" s="22"/>
      <c r="B528" s="16"/>
      <c r="C528" s="23"/>
      <c r="D528" s="24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8.75" customHeight="1" x14ac:dyDescent="0.2">
      <c r="A529" s="22"/>
      <c r="B529" s="16"/>
      <c r="C529" s="23"/>
      <c r="D529" s="24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8.75" customHeight="1" x14ac:dyDescent="0.2">
      <c r="A530" s="22"/>
      <c r="B530" s="16"/>
      <c r="C530" s="23"/>
      <c r="D530" s="2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8.75" customHeight="1" x14ac:dyDescent="0.2">
      <c r="A531" s="22"/>
      <c r="B531" s="16"/>
      <c r="C531" s="23"/>
      <c r="D531" s="2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8.75" customHeight="1" x14ac:dyDescent="0.2">
      <c r="A532" s="22"/>
      <c r="B532" s="16"/>
      <c r="C532" s="23"/>
      <c r="D532" s="2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8.75" customHeight="1" x14ac:dyDescent="0.2">
      <c r="A533" s="22"/>
      <c r="B533" s="16"/>
      <c r="C533" s="23"/>
      <c r="D533" s="2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8.75" customHeight="1" x14ac:dyDescent="0.2">
      <c r="A534" s="22"/>
      <c r="B534" s="16"/>
      <c r="C534" s="23"/>
      <c r="D534" s="24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8.75" customHeight="1" x14ac:dyDescent="0.2">
      <c r="A535" s="22"/>
      <c r="B535" s="16"/>
      <c r="C535" s="23"/>
      <c r="D535" s="24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8.75" customHeight="1" x14ac:dyDescent="0.2">
      <c r="A536" s="22"/>
      <c r="B536" s="16"/>
      <c r="C536" s="23"/>
      <c r="D536" s="24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8.75" customHeight="1" x14ac:dyDescent="0.2">
      <c r="A537" s="22"/>
      <c r="B537" s="16"/>
      <c r="C537" s="23"/>
      <c r="D537" s="24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8.75" customHeight="1" x14ac:dyDescent="0.2">
      <c r="A538" s="22"/>
      <c r="B538" s="16"/>
      <c r="C538" s="23"/>
      <c r="D538" s="2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8.75" customHeight="1" x14ac:dyDescent="0.2">
      <c r="A539" s="22"/>
      <c r="B539" s="16"/>
      <c r="C539" s="23"/>
      <c r="D539" s="24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8.75" customHeight="1" x14ac:dyDescent="0.2">
      <c r="A540" s="22"/>
      <c r="B540" s="16"/>
      <c r="C540" s="23"/>
      <c r="D540" s="24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8.75" customHeight="1" x14ac:dyDescent="0.2">
      <c r="A541" s="22"/>
      <c r="B541" s="16"/>
      <c r="C541" s="23"/>
      <c r="D541" s="24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8.75" customHeight="1" x14ac:dyDescent="0.2">
      <c r="A542" s="22"/>
      <c r="B542" s="16"/>
      <c r="C542" s="23"/>
      <c r="D542" s="24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8.75" customHeight="1" x14ac:dyDescent="0.2">
      <c r="A543" s="22"/>
      <c r="B543" s="16"/>
      <c r="C543" s="23"/>
      <c r="D543" s="24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8.75" customHeight="1" x14ac:dyDescent="0.2">
      <c r="A544" s="22"/>
      <c r="B544" s="16"/>
      <c r="C544" s="23"/>
      <c r="D544" s="24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8.75" customHeight="1" x14ac:dyDescent="0.2">
      <c r="A545" s="22"/>
      <c r="B545" s="16"/>
      <c r="C545" s="23"/>
      <c r="D545" s="24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8.75" customHeight="1" x14ac:dyDescent="0.2">
      <c r="A546" s="22"/>
      <c r="B546" s="16"/>
      <c r="C546" s="23"/>
      <c r="D546" s="24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8.75" customHeight="1" x14ac:dyDescent="0.2">
      <c r="A547" s="22"/>
      <c r="B547" s="16"/>
      <c r="C547" s="23"/>
      <c r="D547" s="2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8.75" customHeight="1" x14ac:dyDescent="0.2">
      <c r="A548" s="22"/>
      <c r="B548" s="16"/>
      <c r="C548" s="23"/>
      <c r="D548" s="24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8.75" customHeight="1" x14ac:dyDescent="0.2">
      <c r="A549" s="22"/>
      <c r="B549" s="16"/>
      <c r="C549" s="23"/>
      <c r="D549" s="24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8.75" customHeight="1" x14ac:dyDescent="0.2">
      <c r="A550" s="22"/>
      <c r="B550" s="16"/>
      <c r="C550" s="23"/>
      <c r="D550" s="24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8.75" customHeight="1" x14ac:dyDescent="0.2">
      <c r="A551" s="22"/>
      <c r="B551" s="16"/>
      <c r="C551" s="23"/>
      <c r="D551" s="24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8.75" customHeight="1" x14ac:dyDescent="0.2">
      <c r="A552" s="22"/>
      <c r="B552" s="16"/>
      <c r="C552" s="23"/>
      <c r="D552" s="24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8.75" customHeight="1" x14ac:dyDescent="0.2">
      <c r="A553" s="22"/>
      <c r="B553" s="16"/>
      <c r="C553" s="23"/>
      <c r="D553" s="24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8.75" customHeight="1" x14ac:dyDescent="0.2">
      <c r="A554" s="22"/>
      <c r="B554" s="16"/>
      <c r="C554" s="23"/>
      <c r="D554" s="24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8.75" customHeight="1" x14ac:dyDescent="0.2">
      <c r="A555" s="22"/>
      <c r="B555" s="16"/>
      <c r="C555" s="23"/>
      <c r="D555" s="24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8.75" customHeight="1" x14ac:dyDescent="0.2">
      <c r="A556" s="22"/>
      <c r="B556" s="16"/>
      <c r="C556" s="23"/>
      <c r="D556" s="24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8.75" customHeight="1" x14ac:dyDescent="0.2">
      <c r="A557" s="22"/>
      <c r="B557" s="16"/>
      <c r="C557" s="23"/>
      <c r="D557" s="24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8.75" customHeight="1" x14ac:dyDescent="0.2">
      <c r="A558" s="22"/>
      <c r="B558" s="16"/>
      <c r="C558" s="23"/>
      <c r="D558" s="24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8.75" customHeight="1" x14ac:dyDescent="0.2">
      <c r="A559" s="22"/>
      <c r="B559" s="16"/>
      <c r="C559" s="23"/>
      <c r="D559" s="24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8.75" customHeight="1" x14ac:dyDescent="0.2">
      <c r="A560" s="22"/>
      <c r="B560" s="16"/>
      <c r="C560" s="23"/>
      <c r="D560" s="24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8.75" customHeight="1" x14ac:dyDescent="0.2">
      <c r="A561" s="22"/>
      <c r="B561" s="16"/>
      <c r="C561" s="23"/>
      <c r="D561" s="24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8.75" customHeight="1" x14ac:dyDescent="0.2">
      <c r="A562" s="22"/>
      <c r="B562" s="16"/>
      <c r="C562" s="23"/>
      <c r="D562" s="24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8.75" customHeight="1" x14ac:dyDescent="0.2">
      <c r="A563" s="22"/>
      <c r="B563" s="16"/>
      <c r="C563" s="23"/>
      <c r="D563" s="24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8.75" customHeight="1" x14ac:dyDescent="0.2">
      <c r="A564" s="22"/>
      <c r="B564" s="16"/>
      <c r="C564" s="23"/>
      <c r="D564" s="24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8.75" customHeight="1" x14ac:dyDescent="0.2">
      <c r="A565" s="22"/>
      <c r="B565" s="16"/>
      <c r="C565" s="23"/>
      <c r="D565" s="24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8.75" customHeight="1" x14ac:dyDescent="0.2">
      <c r="A566" s="22"/>
      <c r="B566" s="16"/>
      <c r="C566" s="23"/>
      <c r="D566" s="24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8.75" customHeight="1" x14ac:dyDescent="0.2">
      <c r="A567" s="22"/>
      <c r="B567" s="16"/>
      <c r="C567" s="23"/>
      <c r="D567" s="24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8.75" customHeight="1" x14ac:dyDescent="0.2">
      <c r="A568" s="22"/>
      <c r="B568" s="16"/>
      <c r="C568" s="23"/>
      <c r="D568" s="24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8.75" customHeight="1" x14ac:dyDescent="0.2">
      <c r="A569" s="22"/>
      <c r="B569" s="16"/>
      <c r="C569" s="23"/>
      <c r="D569" s="24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8.75" customHeight="1" x14ac:dyDescent="0.2">
      <c r="A570" s="22"/>
      <c r="B570" s="16"/>
      <c r="C570" s="23"/>
      <c r="D570" s="24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8.75" customHeight="1" x14ac:dyDescent="0.2">
      <c r="A571" s="22"/>
      <c r="B571" s="16"/>
      <c r="C571" s="23"/>
      <c r="D571" s="24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8.75" customHeight="1" x14ac:dyDescent="0.2">
      <c r="A572" s="22"/>
      <c r="B572" s="16"/>
      <c r="C572" s="23"/>
      <c r="D572" s="24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8.75" customHeight="1" x14ac:dyDescent="0.2">
      <c r="A573" s="22"/>
      <c r="B573" s="16"/>
      <c r="C573" s="23"/>
      <c r="D573" s="24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8.75" customHeight="1" x14ac:dyDescent="0.2">
      <c r="A574" s="22"/>
      <c r="B574" s="16"/>
      <c r="C574" s="23"/>
      <c r="D574" s="24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8.75" customHeight="1" x14ac:dyDescent="0.2">
      <c r="A575" s="22"/>
      <c r="B575" s="16"/>
      <c r="C575" s="23"/>
      <c r="D575" s="24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8.75" customHeight="1" x14ac:dyDescent="0.2">
      <c r="A576" s="22"/>
      <c r="B576" s="16"/>
      <c r="C576" s="23"/>
      <c r="D576" s="24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8.75" customHeight="1" x14ac:dyDescent="0.2">
      <c r="A577" s="22"/>
      <c r="B577" s="16"/>
      <c r="C577" s="23"/>
      <c r="D577" s="24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8.75" customHeight="1" x14ac:dyDescent="0.2">
      <c r="A578" s="22"/>
      <c r="B578" s="16"/>
      <c r="C578" s="23"/>
      <c r="D578" s="24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8.75" customHeight="1" x14ac:dyDescent="0.2">
      <c r="A579" s="22"/>
      <c r="B579" s="16"/>
      <c r="C579" s="23"/>
      <c r="D579" s="24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8.75" customHeight="1" x14ac:dyDescent="0.2">
      <c r="A580" s="22"/>
      <c r="B580" s="16"/>
      <c r="C580" s="23"/>
      <c r="D580" s="24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8.75" customHeight="1" x14ac:dyDescent="0.2">
      <c r="A581" s="22"/>
      <c r="B581" s="16"/>
      <c r="C581" s="23"/>
      <c r="D581" s="24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8.75" customHeight="1" x14ac:dyDescent="0.2">
      <c r="A582" s="22"/>
      <c r="B582" s="16"/>
      <c r="C582" s="23"/>
      <c r="D582" s="24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8.75" customHeight="1" x14ac:dyDescent="0.2">
      <c r="A583" s="22"/>
      <c r="B583" s="16"/>
      <c r="C583" s="23"/>
      <c r="D583" s="24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8.75" customHeight="1" x14ac:dyDescent="0.2">
      <c r="A584" s="22"/>
      <c r="B584" s="16"/>
      <c r="C584" s="23"/>
      <c r="D584" s="24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8.75" customHeight="1" x14ac:dyDescent="0.2">
      <c r="A585" s="22"/>
      <c r="B585" s="16"/>
      <c r="C585" s="23"/>
      <c r="D585" s="24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8.75" customHeight="1" x14ac:dyDescent="0.2">
      <c r="A586" s="22"/>
      <c r="B586" s="16"/>
      <c r="C586" s="23"/>
      <c r="D586" s="24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8.75" customHeight="1" x14ac:dyDescent="0.2">
      <c r="A587" s="22"/>
      <c r="B587" s="16"/>
      <c r="C587" s="23"/>
      <c r="D587" s="24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8.75" customHeight="1" x14ac:dyDescent="0.2">
      <c r="A588" s="22"/>
      <c r="B588" s="16"/>
      <c r="C588" s="23"/>
      <c r="D588" s="24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8.75" customHeight="1" x14ac:dyDescent="0.2">
      <c r="A589" s="22"/>
      <c r="B589" s="16"/>
      <c r="C589" s="23"/>
      <c r="D589" s="24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8.75" customHeight="1" x14ac:dyDescent="0.2">
      <c r="A590" s="22"/>
      <c r="B590" s="16"/>
      <c r="C590" s="23"/>
      <c r="D590" s="24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8.75" customHeight="1" x14ac:dyDescent="0.2">
      <c r="A591" s="22"/>
      <c r="B591" s="16"/>
      <c r="C591" s="23"/>
      <c r="D591" s="24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8.75" customHeight="1" x14ac:dyDescent="0.2">
      <c r="A592" s="22"/>
      <c r="B592" s="16"/>
      <c r="C592" s="23"/>
      <c r="D592" s="24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8.75" customHeight="1" x14ac:dyDescent="0.2">
      <c r="A593" s="22"/>
      <c r="B593" s="16"/>
      <c r="C593" s="23"/>
      <c r="D593" s="24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8.75" customHeight="1" x14ac:dyDescent="0.2">
      <c r="A594" s="22"/>
      <c r="B594" s="16"/>
      <c r="C594" s="23"/>
      <c r="D594" s="24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8.75" customHeight="1" x14ac:dyDescent="0.2">
      <c r="A595" s="22"/>
      <c r="B595" s="16"/>
      <c r="C595" s="23"/>
      <c r="D595" s="24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8.75" customHeight="1" x14ac:dyDescent="0.2">
      <c r="A596" s="22"/>
      <c r="B596" s="16"/>
      <c r="C596" s="23"/>
      <c r="D596" s="24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8.75" customHeight="1" x14ac:dyDescent="0.2">
      <c r="A597" s="22"/>
      <c r="B597" s="16"/>
      <c r="C597" s="23"/>
      <c r="D597" s="24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8.75" customHeight="1" x14ac:dyDescent="0.2">
      <c r="A598" s="22"/>
      <c r="B598" s="16"/>
      <c r="C598" s="23"/>
      <c r="D598" s="24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8.75" customHeight="1" x14ac:dyDescent="0.2">
      <c r="A599" s="22"/>
      <c r="B599" s="16"/>
      <c r="C599" s="23"/>
      <c r="D599" s="24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8.75" customHeight="1" x14ac:dyDescent="0.2">
      <c r="A600" s="22"/>
      <c r="B600" s="16"/>
      <c r="C600" s="23"/>
      <c r="D600" s="24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8.75" customHeight="1" x14ac:dyDescent="0.2">
      <c r="A601" s="22"/>
      <c r="B601" s="16"/>
      <c r="C601" s="23"/>
      <c r="D601" s="2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8.75" customHeight="1" x14ac:dyDescent="0.2">
      <c r="A602" s="22"/>
      <c r="B602" s="16"/>
      <c r="C602" s="23"/>
      <c r="D602" s="24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8.75" customHeight="1" x14ac:dyDescent="0.2">
      <c r="A603" s="22"/>
      <c r="B603" s="16"/>
      <c r="C603" s="23"/>
      <c r="D603" s="24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8.75" customHeight="1" x14ac:dyDescent="0.2">
      <c r="A604" s="22"/>
      <c r="B604" s="16"/>
      <c r="C604" s="23"/>
      <c r="D604" s="24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8.75" customHeight="1" x14ac:dyDescent="0.2">
      <c r="A605" s="22"/>
      <c r="B605" s="16"/>
      <c r="C605" s="23"/>
      <c r="D605" s="24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8.75" customHeight="1" x14ac:dyDescent="0.2">
      <c r="A606" s="22"/>
      <c r="B606" s="16"/>
      <c r="C606" s="23"/>
      <c r="D606" s="24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8.75" customHeight="1" x14ac:dyDescent="0.2">
      <c r="A607" s="22"/>
      <c r="B607" s="16"/>
      <c r="C607" s="23"/>
      <c r="D607" s="24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8.75" customHeight="1" x14ac:dyDescent="0.2">
      <c r="A608" s="22"/>
      <c r="B608" s="16"/>
      <c r="C608" s="23"/>
      <c r="D608" s="24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8.75" customHeight="1" x14ac:dyDescent="0.2">
      <c r="A609" s="22"/>
      <c r="B609" s="16"/>
      <c r="C609" s="23"/>
      <c r="D609" s="24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8.75" customHeight="1" x14ac:dyDescent="0.2">
      <c r="A610" s="22"/>
      <c r="B610" s="16"/>
      <c r="C610" s="23"/>
      <c r="D610" s="24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8.75" customHeight="1" x14ac:dyDescent="0.2">
      <c r="A611" s="22"/>
      <c r="B611" s="16"/>
      <c r="C611" s="23"/>
      <c r="D611" s="24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8.75" customHeight="1" x14ac:dyDescent="0.2">
      <c r="A612" s="22"/>
      <c r="B612" s="16"/>
      <c r="C612" s="23"/>
      <c r="D612" s="24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8.75" customHeight="1" x14ac:dyDescent="0.2">
      <c r="A613" s="22"/>
      <c r="B613" s="16"/>
      <c r="C613" s="23"/>
      <c r="D613" s="24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8.75" customHeight="1" x14ac:dyDescent="0.2">
      <c r="A614" s="22"/>
      <c r="B614" s="16"/>
      <c r="C614" s="23"/>
      <c r="D614" s="24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8.75" customHeight="1" x14ac:dyDescent="0.2">
      <c r="A615" s="22"/>
      <c r="B615" s="16"/>
      <c r="C615" s="23"/>
      <c r="D615" s="24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8.75" customHeight="1" x14ac:dyDescent="0.2">
      <c r="A616" s="22"/>
      <c r="B616" s="16"/>
      <c r="C616" s="23"/>
      <c r="D616" s="24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8.75" customHeight="1" x14ac:dyDescent="0.2">
      <c r="A617" s="22"/>
      <c r="B617" s="16"/>
      <c r="C617" s="23"/>
      <c r="D617" s="24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8.75" customHeight="1" x14ac:dyDescent="0.2">
      <c r="A618" s="22"/>
      <c r="B618" s="16"/>
      <c r="C618" s="23"/>
      <c r="D618" s="24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8.75" customHeight="1" x14ac:dyDescent="0.2">
      <c r="A619" s="22"/>
      <c r="B619" s="16"/>
      <c r="C619" s="23"/>
      <c r="D619" s="24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8.75" customHeight="1" x14ac:dyDescent="0.2">
      <c r="A620" s="22"/>
      <c r="B620" s="16"/>
      <c r="C620" s="23"/>
      <c r="D620" s="24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8.75" customHeight="1" x14ac:dyDescent="0.2">
      <c r="A621" s="22"/>
      <c r="B621" s="16"/>
      <c r="C621" s="23"/>
      <c r="D621" s="24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8.75" customHeight="1" x14ac:dyDescent="0.2">
      <c r="A622" s="22"/>
      <c r="B622" s="16"/>
      <c r="C622" s="23"/>
      <c r="D622" s="24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8.75" customHeight="1" x14ac:dyDescent="0.2">
      <c r="A623" s="22"/>
      <c r="B623" s="16"/>
      <c r="C623" s="23"/>
      <c r="D623" s="24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8.75" customHeight="1" x14ac:dyDescent="0.2">
      <c r="A624" s="22"/>
      <c r="B624" s="16"/>
      <c r="C624" s="23"/>
      <c r="D624" s="24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8.75" customHeight="1" x14ac:dyDescent="0.2">
      <c r="A625" s="22"/>
      <c r="B625" s="16"/>
      <c r="C625" s="23"/>
      <c r="D625" s="24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8.75" customHeight="1" x14ac:dyDescent="0.2">
      <c r="A626" s="22"/>
      <c r="B626" s="16"/>
      <c r="C626" s="23"/>
      <c r="D626" s="24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8.75" customHeight="1" x14ac:dyDescent="0.2">
      <c r="A627" s="22"/>
      <c r="B627" s="16"/>
      <c r="C627" s="23"/>
      <c r="D627" s="24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8.75" customHeight="1" x14ac:dyDescent="0.2">
      <c r="A628" s="22"/>
      <c r="B628" s="16"/>
      <c r="C628" s="23"/>
      <c r="D628" s="24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8.75" customHeight="1" x14ac:dyDescent="0.2">
      <c r="A629" s="22"/>
      <c r="B629" s="16"/>
      <c r="C629" s="23"/>
      <c r="D629" s="24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8.75" customHeight="1" x14ac:dyDescent="0.2">
      <c r="A630" s="22"/>
      <c r="B630" s="16"/>
      <c r="C630" s="23"/>
      <c r="D630" s="24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8.75" customHeight="1" x14ac:dyDescent="0.2">
      <c r="A631" s="22"/>
      <c r="B631" s="16"/>
      <c r="C631" s="23"/>
      <c r="D631" s="24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8.75" customHeight="1" x14ac:dyDescent="0.2">
      <c r="A632" s="22"/>
      <c r="B632" s="16"/>
      <c r="C632" s="23"/>
      <c r="D632" s="24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8.75" customHeight="1" x14ac:dyDescent="0.2">
      <c r="A633" s="22"/>
      <c r="B633" s="16"/>
      <c r="C633" s="23"/>
      <c r="D633" s="24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8.75" customHeight="1" x14ac:dyDescent="0.2">
      <c r="A634" s="22"/>
      <c r="B634" s="16"/>
      <c r="C634" s="23"/>
      <c r="D634" s="24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8.75" customHeight="1" x14ac:dyDescent="0.2">
      <c r="A635" s="22"/>
      <c r="B635" s="16"/>
      <c r="C635" s="23"/>
      <c r="D635" s="24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8.75" customHeight="1" x14ac:dyDescent="0.2">
      <c r="A636" s="22"/>
      <c r="B636" s="16"/>
      <c r="C636" s="23"/>
      <c r="D636" s="24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8.75" customHeight="1" x14ac:dyDescent="0.2">
      <c r="A637" s="22"/>
      <c r="B637" s="16"/>
      <c r="C637" s="23"/>
      <c r="D637" s="24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8.75" customHeight="1" x14ac:dyDescent="0.2">
      <c r="A638" s="22"/>
      <c r="B638" s="16"/>
      <c r="C638" s="23"/>
      <c r="D638" s="24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8.75" customHeight="1" x14ac:dyDescent="0.2">
      <c r="A639" s="22"/>
      <c r="B639" s="16"/>
      <c r="C639" s="23"/>
      <c r="D639" s="24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8.75" customHeight="1" x14ac:dyDescent="0.2">
      <c r="A640" s="22"/>
      <c r="B640" s="16"/>
      <c r="C640" s="23"/>
      <c r="D640" s="24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8.75" customHeight="1" x14ac:dyDescent="0.2">
      <c r="A641" s="22"/>
      <c r="B641" s="16"/>
      <c r="C641" s="23"/>
      <c r="D641" s="24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8.75" customHeight="1" x14ac:dyDescent="0.2">
      <c r="A642" s="22"/>
      <c r="B642" s="16"/>
      <c r="C642" s="23"/>
      <c r="D642" s="24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8.75" customHeight="1" x14ac:dyDescent="0.2">
      <c r="A643" s="22"/>
      <c r="B643" s="16"/>
      <c r="C643" s="23"/>
      <c r="D643" s="24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8.75" customHeight="1" x14ac:dyDescent="0.2">
      <c r="A644" s="22"/>
      <c r="B644" s="16"/>
      <c r="C644" s="23"/>
      <c r="D644" s="24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8.75" customHeight="1" x14ac:dyDescent="0.2">
      <c r="A645" s="22"/>
      <c r="B645" s="16"/>
      <c r="C645" s="23"/>
      <c r="D645" s="24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8.75" customHeight="1" x14ac:dyDescent="0.2">
      <c r="A646" s="22"/>
      <c r="B646" s="16"/>
      <c r="C646" s="23"/>
      <c r="D646" s="24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8.75" customHeight="1" x14ac:dyDescent="0.2">
      <c r="A647" s="22"/>
      <c r="B647" s="16"/>
      <c r="C647" s="23"/>
      <c r="D647" s="24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8.75" customHeight="1" x14ac:dyDescent="0.2">
      <c r="A648" s="22"/>
      <c r="B648" s="16"/>
      <c r="C648" s="23"/>
      <c r="D648" s="24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8.75" customHeight="1" x14ac:dyDescent="0.2">
      <c r="A649" s="22"/>
      <c r="B649" s="16"/>
      <c r="C649" s="23"/>
      <c r="D649" s="24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8.75" customHeight="1" x14ac:dyDescent="0.2">
      <c r="A650" s="22"/>
      <c r="B650" s="16"/>
      <c r="C650" s="23"/>
      <c r="D650" s="24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8.75" customHeight="1" x14ac:dyDescent="0.2">
      <c r="A651" s="22"/>
      <c r="B651" s="16"/>
      <c r="C651" s="23"/>
      <c r="D651" s="24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8.75" customHeight="1" x14ac:dyDescent="0.2">
      <c r="A652" s="22"/>
      <c r="B652" s="16"/>
      <c r="C652" s="23"/>
      <c r="D652" s="24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8.75" customHeight="1" x14ac:dyDescent="0.2">
      <c r="A653" s="22"/>
      <c r="B653" s="16"/>
      <c r="C653" s="23"/>
      <c r="D653" s="24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8.75" customHeight="1" x14ac:dyDescent="0.2">
      <c r="A654" s="22"/>
      <c r="B654" s="16"/>
      <c r="C654" s="23"/>
      <c r="D654" s="24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8.75" customHeight="1" x14ac:dyDescent="0.2">
      <c r="A655" s="22"/>
      <c r="B655" s="16"/>
      <c r="C655" s="23"/>
      <c r="D655" s="24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8.75" customHeight="1" x14ac:dyDescent="0.2">
      <c r="A656" s="22"/>
      <c r="B656" s="16"/>
      <c r="C656" s="23"/>
      <c r="D656" s="24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8.75" customHeight="1" x14ac:dyDescent="0.2">
      <c r="A657" s="22"/>
      <c r="B657" s="16"/>
      <c r="C657" s="23"/>
      <c r="D657" s="24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8.75" customHeight="1" x14ac:dyDescent="0.2">
      <c r="A658" s="22"/>
      <c r="B658" s="16"/>
      <c r="C658" s="23"/>
      <c r="D658" s="24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8.75" customHeight="1" x14ac:dyDescent="0.2">
      <c r="A659" s="22"/>
      <c r="B659" s="16"/>
      <c r="C659" s="23"/>
      <c r="D659" s="24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8.75" customHeight="1" x14ac:dyDescent="0.2">
      <c r="A660" s="22"/>
      <c r="B660" s="16"/>
      <c r="C660" s="23"/>
      <c r="D660" s="24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8.75" customHeight="1" x14ac:dyDescent="0.2">
      <c r="A661" s="22"/>
      <c r="B661" s="16"/>
      <c r="C661" s="23"/>
      <c r="D661" s="24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8.75" customHeight="1" x14ac:dyDescent="0.2">
      <c r="A662" s="22"/>
      <c r="B662" s="16"/>
      <c r="C662" s="23"/>
      <c r="D662" s="24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8.75" customHeight="1" x14ac:dyDescent="0.2">
      <c r="A663" s="22"/>
      <c r="B663" s="16"/>
      <c r="C663" s="23"/>
      <c r="D663" s="24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8.75" customHeight="1" x14ac:dyDescent="0.2">
      <c r="A664" s="22"/>
      <c r="B664" s="16"/>
      <c r="C664" s="23"/>
      <c r="D664" s="24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8.75" customHeight="1" x14ac:dyDescent="0.2">
      <c r="A665" s="22"/>
      <c r="B665" s="16"/>
      <c r="C665" s="23"/>
      <c r="D665" s="24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8.75" customHeight="1" x14ac:dyDescent="0.2">
      <c r="A666" s="22"/>
      <c r="B666" s="16"/>
      <c r="C666" s="23"/>
      <c r="D666" s="24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8.75" customHeight="1" x14ac:dyDescent="0.2">
      <c r="A667" s="22"/>
      <c r="B667" s="16"/>
      <c r="C667" s="23"/>
      <c r="D667" s="24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8.75" customHeight="1" x14ac:dyDescent="0.2">
      <c r="A668" s="22"/>
      <c r="B668" s="16"/>
      <c r="C668" s="23"/>
      <c r="D668" s="24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8.75" customHeight="1" x14ac:dyDescent="0.2">
      <c r="A669" s="22"/>
      <c r="B669" s="16"/>
      <c r="C669" s="23"/>
      <c r="D669" s="24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8.75" customHeight="1" x14ac:dyDescent="0.2">
      <c r="A670" s="22"/>
      <c r="B670" s="16"/>
      <c r="C670" s="23"/>
      <c r="D670" s="24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8.75" customHeight="1" x14ac:dyDescent="0.2">
      <c r="A671" s="22"/>
      <c r="B671" s="16"/>
      <c r="C671" s="23"/>
      <c r="D671" s="24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8.75" customHeight="1" x14ac:dyDescent="0.2">
      <c r="A672" s="22"/>
      <c r="B672" s="16"/>
      <c r="C672" s="23"/>
      <c r="D672" s="24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8.75" customHeight="1" x14ac:dyDescent="0.2">
      <c r="A673" s="22"/>
      <c r="B673" s="16"/>
      <c r="C673" s="23"/>
      <c r="D673" s="24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8.75" customHeight="1" x14ac:dyDescent="0.2">
      <c r="A674" s="22"/>
      <c r="B674" s="16"/>
      <c r="C674" s="23"/>
      <c r="D674" s="24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8.75" customHeight="1" x14ac:dyDescent="0.2">
      <c r="A675" s="22"/>
      <c r="B675" s="16"/>
      <c r="C675" s="23"/>
      <c r="D675" s="24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8.75" customHeight="1" x14ac:dyDescent="0.2">
      <c r="A676" s="22"/>
      <c r="B676" s="16"/>
      <c r="C676" s="23"/>
      <c r="D676" s="24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8.75" customHeight="1" x14ac:dyDescent="0.2">
      <c r="A677" s="22"/>
      <c r="B677" s="16"/>
      <c r="C677" s="23"/>
      <c r="D677" s="24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8.75" customHeight="1" x14ac:dyDescent="0.2">
      <c r="A678" s="22"/>
      <c r="B678" s="16"/>
      <c r="C678" s="23"/>
      <c r="D678" s="24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8.75" customHeight="1" x14ac:dyDescent="0.2">
      <c r="A679" s="22"/>
      <c r="B679" s="16"/>
      <c r="C679" s="23"/>
      <c r="D679" s="24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8.75" customHeight="1" x14ac:dyDescent="0.2">
      <c r="A680" s="22"/>
      <c r="B680" s="16"/>
      <c r="C680" s="23"/>
      <c r="D680" s="24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8.75" customHeight="1" x14ac:dyDescent="0.2">
      <c r="A681" s="22"/>
      <c r="B681" s="16"/>
      <c r="C681" s="23"/>
      <c r="D681" s="24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8.75" customHeight="1" x14ac:dyDescent="0.2">
      <c r="A682" s="22"/>
      <c r="B682" s="16"/>
      <c r="C682" s="23"/>
      <c r="D682" s="24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8.75" customHeight="1" x14ac:dyDescent="0.2">
      <c r="A683" s="22"/>
      <c r="B683" s="16"/>
      <c r="C683" s="23"/>
      <c r="D683" s="24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8.75" customHeight="1" x14ac:dyDescent="0.2">
      <c r="A684" s="22"/>
      <c r="B684" s="16"/>
      <c r="C684" s="23"/>
      <c r="D684" s="24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8.75" customHeight="1" x14ac:dyDescent="0.2">
      <c r="A685" s="22"/>
      <c r="B685" s="16"/>
      <c r="C685" s="23"/>
      <c r="D685" s="24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8.75" customHeight="1" x14ac:dyDescent="0.2">
      <c r="A686" s="22"/>
      <c r="B686" s="16"/>
      <c r="C686" s="23"/>
      <c r="D686" s="24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8.75" customHeight="1" x14ac:dyDescent="0.2">
      <c r="A687" s="22"/>
      <c r="B687" s="16"/>
      <c r="C687" s="23"/>
      <c r="D687" s="24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8.75" customHeight="1" x14ac:dyDescent="0.2">
      <c r="A688" s="22"/>
      <c r="B688" s="16"/>
      <c r="C688" s="23"/>
      <c r="D688" s="24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8.75" customHeight="1" x14ac:dyDescent="0.2">
      <c r="A689" s="22"/>
      <c r="B689" s="16"/>
      <c r="C689" s="23"/>
      <c r="D689" s="24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8.75" customHeight="1" x14ac:dyDescent="0.2">
      <c r="A690" s="22"/>
      <c r="B690" s="16"/>
      <c r="C690" s="23"/>
      <c r="D690" s="24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8.75" customHeight="1" x14ac:dyDescent="0.2">
      <c r="A691" s="22"/>
      <c r="B691" s="16"/>
      <c r="C691" s="23"/>
      <c r="D691" s="24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8.75" customHeight="1" x14ac:dyDescent="0.2">
      <c r="A692" s="22"/>
      <c r="B692" s="16"/>
      <c r="C692" s="23"/>
      <c r="D692" s="24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8.75" customHeight="1" x14ac:dyDescent="0.2">
      <c r="A693" s="22"/>
      <c r="B693" s="16"/>
      <c r="C693" s="23"/>
      <c r="D693" s="24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8.75" customHeight="1" x14ac:dyDescent="0.2">
      <c r="A694" s="22"/>
      <c r="B694" s="16"/>
      <c r="C694" s="23"/>
      <c r="D694" s="24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8.75" customHeight="1" x14ac:dyDescent="0.2">
      <c r="A695" s="22"/>
      <c r="B695" s="16"/>
      <c r="C695" s="23"/>
      <c r="D695" s="24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8.75" customHeight="1" x14ac:dyDescent="0.2">
      <c r="A696" s="22"/>
      <c r="B696" s="16"/>
      <c r="C696" s="23"/>
      <c r="D696" s="24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8.75" customHeight="1" x14ac:dyDescent="0.2">
      <c r="A697" s="22"/>
      <c r="B697" s="16"/>
      <c r="C697" s="23"/>
      <c r="D697" s="24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8.75" customHeight="1" x14ac:dyDescent="0.2">
      <c r="A698" s="22"/>
      <c r="B698" s="16"/>
      <c r="C698" s="23"/>
      <c r="D698" s="24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8.75" customHeight="1" x14ac:dyDescent="0.2">
      <c r="A699" s="22"/>
      <c r="B699" s="16"/>
      <c r="C699" s="23"/>
      <c r="D699" s="24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8.75" customHeight="1" x14ac:dyDescent="0.2">
      <c r="A700" s="22"/>
      <c r="B700" s="16"/>
      <c r="C700" s="23"/>
      <c r="D700" s="24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8.75" customHeight="1" x14ac:dyDescent="0.2">
      <c r="A701" s="22"/>
      <c r="B701" s="16"/>
      <c r="C701" s="23"/>
      <c r="D701" s="24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8.75" customHeight="1" x14ac:dyDescent="0.2">
      <c r="A702" s="22"/>
      <c r="B702" s="16"/>
      <c r="C702" s="23"/>
      <c r="D702" s="24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8.75" customHeight="1" x14ac:dyDescent="0.2">
      <c r="A703" s="22"/>
      <c r="B703" s="16"/>
      <c r="C703" s="23"/>
      <c r="D703" s="24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8.75" customHeight="1" x14ac:dyDescent="0.2">
      <c r="A704" s="22"/>
      <c r="B704" s="16"/>
      <c r="C704" s="23"/>
      <c r="D704" s="24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8.75" customHeight="1" x14ac:dyDescent="0.2">
      <c r="A705" s="22"/>
      <c r="B705" s="16"/>
      <c r="C705" s="23"/>
      <c r="D705" s="24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8.75" customHeight="1" x14ac:dyDescent="0.2">
      <c r="A706" s="22"/>
      <c r="B706" s="16"/>
      <c r="C706" s="23"/>
      <c r="D706" s="24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8.75" customHeight="1" x14ac:dyDescent="0.2">
      <c r="A707" s="22"/>
      <c r="B707" s="16"/>
      <c r="C707" s="23"/>
      <c r="D707" s="24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8.75" customHeight="1" x14ac:dyDescent="0.2">
      <c r="A708" s="22"/>
      <c r="B708" s="16"/>
      <c r="C708" s="23"/>
      <c r="D708" s="24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8.75" customHeight="1" x14ac:dyDescent="0.2">
      <c r="A709" s="22"/>
      <c r="B709" s="16"/>
      <c r="C709" s="23"/>
      <c r="D709" s="24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8.75" customHeight="1" x14ac:dyDescent="0.2">
      <c r="A710" s="22"/>
      <c r="B710" s="16"/>
      <c r="C710" s="23"/>
      <c r="D710" s="24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8.75" customHeight="1" x14ac:dyDescent="0.2">
      <c r="A711" s="22"/>
      <c r="B711" s="16"/>
      <c r="C711" s="23"/>
      <c r="D711" s="24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8.75" customHeight="1" x14ac:dyDescent="0.2">
      <c r="A712" s="22"/>
      <c r="B712" s="16"/>
      <c r="C712" s="23"/>
      <c r="D712" s="24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8.75" customHeight="1" x14ac:dyDescent="0.2">
      <c r="A713" s="22"/>
      <c r="B713" s="16"/>
      <c r="C713" s="23"/>
      <c r="D713" s="24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8.75" customHeight="1" x14ac:dyDescent="0.2">
      <c r="A714" s="22"/>
      <c r="B714" s="16"/>
      <c r="C714" s="23"/>
      <c r="D714" s="24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8.75" customHeight="1" x14ac:dyDescent="0.2">
      <c r="A715" s="22"/>
      <c r="B715" s="16"/>
      <c r="C715" s="23"/>
      <c r="D715" s="24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8.75" customHeight="1" x14ac:dyDescent="0.2">
      <c r="A716" s="22"/>
      <c r="B716" s="16"/>
      <c r="C716" s="23"/>
      <c r="D716" s="24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8.75" customHeight="1" x14ac:dyDescent="0.2">
      <c r="A717" s="22"/>
      <c r="B717" s="16"/>
      <c r="C717" s="23"/>
      <c r="D717" s="24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8.75" customHeight="1" x14ac:dyDescent="0.2">
      <c r="A718" s="22"/>
      <c r="B718" s="16"/>
      <c r="C718" s="23"/>
      <c r="D718" s="24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8.75" customHeight="1" x14ac:dyDescent="0.2">
      <c r="A719" s="22"/>
      <c r="B719" s="16"/>
      <c r="C719" s="23"/>
      <c r="D719" s="24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8.75" customHeight="1" x14ac:dyDescent="0.2">
      <c r="A720" s="22"/>
      <c r="B720" s="16"/>
      <c r="C720" s="23"/>
      <c r="D720" s="24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8.75" customHeight="1" x14ac:dyDescent="0.2">
      <c r="A721" s="22"/>
      <c r="B721" s="16"/>
      <c r="C721" s="23"/>
      <c r="D721" s="24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8.75" customHeight="1" x14ac:dyDescent="0.2">
      <c r="A722" s="22"/>
      <c r="B722" s="16"/>
      <c r="C722" s="23"/>
      <c r="D722" s="24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8.75" customHeight="1" x14ac:dyDescent="0.2">
      <c r="A723" s="22"/>
      <c r="B723" s="16"/>
      <c r="C723" s="23"/>
      <c r="D723" s="24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8.75" customHeight="1" x14ac:dyDescent="0.2">
      <c r="A724" s="22"/>
      <c r="B724" s="16"/>
      <c r="C724" s="23"/>
      <c r="D724" s="24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8.75" customHeight="1" x14ac:dyDescent="0.2">
      <c r="A725" s="22"/>
      <c r="B725" s="16"/>
      <c r="C725" s="23"/>
      <c r="D725" s="24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8.75" customHeight="1" x14ac:dyDescent="0.2">
      <c r="A726" s="22"/>
      <c r="B726" s="16"/>
      <c r="C726" s="23"/>
      <c r="D726" s="24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8.75" customHeight="1" x14ac:dyDescent="0.2">
      <c r="A727" s="22"/>
      <c r="B727" s="16"/>
      <c r="C727" s="23"/>
      <c r="D727" s="24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8.75" customHeight="1" x14ac:dyDescent="0.2">
      <c r="A728" s="22"/>
      <c r="B728" s="16"/>
      <c r="C728" s="23"/>
      <c r="D728" s="24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8.75" customHeight="1" x14ac:dyDescent="0.2">
      <c r="A729" s="22"/>
      <c r="B729" s="16"/>
      <c r="C729" s="23"/>
      <c r="D729" s="24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8.75" customHeight="1" x14ac:dyDescent="0.2">
      <c r="A730" s="22"/>
      <c r="B730" s="16"/>
      <c r="C730" s="23"/>
      <c r="D730" s="24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8.75" customHeight="1" x14ac:dyDescent="0.2">
      <c r="A731" s="22"/>
      <c r="B731" s="16"/>
      <c r="C731" s="23"/>
      <c r="D731" s="24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8.75" customHeight="1" x14ac:dyDescent="0.2">
      <c r="A732" s="22"/>
      <c r="B732" s="16"/>
      <c r="C732" s="23"/>
      <c r="D732" s="24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8.75" customHeight="1" x14ac:dyDescent="0.2">
      <c r="A733" s="22"/>
      <c r="B733" s="16"/>
      <c r="C733" s="23"/>
      <c r="D733" s="24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8.75" customHeight="1" x14ac:dyDescent="0.2">
      <c r="A734" s="22"/>
      <c r="B734" s="16"/>
      <c r="C734" s="23"/>
      <c r="D734" s="24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8.75" customHeight="1" x14ac:dyDescent="0.2">
      <c r="A735" s="22"/>
      <c r="B735" s="16"/>
      <c r="C735" s="23"/>
      <c r="D735" s="24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8.75" customHeight="1" x14ac:dyDescent="0.2">
      <c r="A736" s="22"/>
      <c r="B736" s="16"/>
      <c r="C736" s="23"/>
      <c r="D736" s="24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8.75" customHeight="1" x14ac:dyDescent="0.2">
      <c r="A737" s="22"/>
      <c r="B737" s="16"/>
      <c r="C737" s="23"/>
      <c r="D737" s="24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8.75" customHeight="1" x14ac:dyDescent="0.2">
      <c r="A738" s="22"/>
      <c r="B738" s="16"/>
      <c r="C738" s="23"/>
      <c r="D738" s="24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8.75" customHeight="1" x14ac:dyDescent="0.2">
      <c r="A739" s="22"/>
      <c r="B739" s="16"/>
      <c r="C739" s="23"/>
      <c r="D739" s="24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8.75" customHeight="1" x14ac:dyDescent="0.2">
      <c r="A740" s="22"/>
      <c r="B740" s="16"/>
      <c r="C740" s="23"/>
      <c r="D740" s="24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8.75" customHeight="1" x14ac:dyDescent="0.2">
      <c r="A741" s="22"/>
      <c r="B741" s="16"/>
      <c r="C741" s="23"/>
      <c r="D741" s="24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8.75" customHeight="1" x14ac:dyDescent="0.2">
      <c r="A742" s="22"/>
      <c r="B742" s="16"/>
      <c r="C742" s="23"/>
      <c r="D742" s="24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8.75" customHeight="1" x14ac:dyDescent="0.2">
      <c r="A743" s="22"/>
      <c r="B743" s="16"/>
      <c r="C743" s="23"/>
      <c r="D743" s="24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8.75" customHeight="1" x14ac:dyDescent="0.2">
      <c r="A744" s="22"/>
      <c r="B744" s="16"/>
      <c r="C744" s="23"/>
      <c r="D744" s="24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8.75" customHeight="1" x14ac:dyDescent="0.2">
      <c r="A745" s="22"/>
      <c r="B745" s="16"/>
      <c r="C745" s="23"/>
      <c r="D745" s="24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8.75" customHeight="1" x14ac:dyDescent="0.2">
      <c r="A746" s="22"/>
      <c r="B746" s="16"/>
      <c r="C746" s="23"/>
      <c r="D746" s="24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8.75" customHeight="1" x14ac:dyDescent="0.2">
      <c r="A747" s="22"/>
      <c r="B747" s="16"/>
      <c r="C747" s="23"/>
      <c r="D747" s="24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8.75" customHeight="1" x14ac:dyDescent="0.2">
      <c r="A748" s="22"/>
      <c r="B748" s="16"/>
      <c r="C748" s="23"/>
      <c r="D748" s="24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8.75" customHeight="1" x14ac:dyDescent="0.2">
      <c r="A749" s="22"/>
      <c r="B749" s="16"/>
      <c r="C749" s="23"/>
      <c r="D749" s="24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8.75" customHeight="1" x14ac:dyDescent="0.2">
      <c r="A750" s="22"/>
      <c r="B750" s="16"/>
      <c r="C750" s="23"/>
      <c r="D750" s="24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8.75" customHeight="1" x14ac:dyDescent="0.2">
      <c r="A751" s="22"/>
      <c r="B751" s="16"/>
      <c r="C751" s="23"/>
      <c r="D751" s="24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8.75" customHeight="1" x14ac:dyDescent="0.2">
      <c r="A752" s="22"/>
      <c r="B752" s="16"/>
      <c r="C752" s="23"/>
      <c r="D752" s="24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8.75" customHeight="1" x14ac:dyDescent="0.2">
      <c r="A753" s="22"/>
      <c r="B753" s="16"/>
      <c r="C753" s="23"/>
      <c r="D753" s="24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8.75" customHeight="1" x14ac:dyDescent="0.2">
      <c r="A754" s="22"/>
      <c r="B754" s="16"/>
      <c r="C754" s="23"/>
      <c r="D754" s="24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8.75" customHeight="1" x14ac:dyDescent="0.2">
      <c r="A755" s="22"/>
      <c r="B755" s="16"/>
      <c r="C755" s="23"/>
      <c r="D755" s="24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8.75" customHeight="1" x14ac:dyDescent="0.2">
      <c r="A756" s="22"/>
      <c r="B756" s="16"/>
      <c r="C756" s="23"/>
      <c r="D756" s="24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8.75" customHeight="1" x14ac:dyDescent="0.2">
      <c r="A757" s="22"/>
      <c r="B757" s="16"/>
      <c r="C757" s="23"/>
      <c r="D757" s="24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8.75" customHeight="1" x14ac:dyDescent="0.2">
      <c r="A758" s="22"/>
      <c r="B758" s="16"/>
      <c r="C758" s="23"/>
      <c r="D758" s="24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8.75" customHeight="1" x14ac:dyDescent="0.2">
      <c r="A759" s="22"/>
      <c r="B759" s="16"/>
      <c r="C759" s="23"/>
      <c r="D759" s="24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8.75" customHeight="1" x14ac:dyDescent="0.2">
      <c r="A760" s="22"/>
      <c r="B760" s="16"/>
      <c r="C760" s="23"/>
      <c r="D760" s="24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8.75" customHeight="1" x14ac:dyDescent="0.2">
      <c r="A761" s="22"/>
      <c r="B761" s="16"/>
      <c r="C761" s="23"/>
      <c r="D761" s="24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8.75" customHeight="1" x14ac:dyDescent="0.2">
      <c r="A762" s="22"/>
      <c r="B762" s="16"/>
      <c r="C762" s="23"/>
      <c r="D762" s="24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8.75" customHeight="1" x14ac:dyDescent="0.2">
      <c r="A763" s="22"/>
      <c r="B763" s="16"/>
      <c r="C763" s="23"/>
      <c r="D763" s="24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8.75" customHeight="1" x14ac:dyDescent="0.2">
      <c r="A764" s="22"/>
      <c r="B764" s="16"/>
      <c r="C764" s="23"/>
      <c r="D764" s="24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8.75" customHeight="1" x14ac:dyDescent="0.2">
      <c r="A765" s="22"/>
      <c r="B765" s="16"/>
      <c r="C765" s="23"/>
      <c r="D765" s="24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8.75" customHeight="1" x14ac:dyDescent="0.2">
      <c r="A766" s="22"/>
      <c r="B766" s="16"/>
      <c r="C766" s="23"/>
      <c r="D766" s="24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8.75" customHeight="1" x14ac:dyDescent="0.2">
      <c r="A767" s="22"/>
      <c r="B767" s="16"/>
      <c r="C767" s="23"/>
      <c r="D767" s="24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8.75" customHeight="1" x14ac:dyDescent="0.2">
      <c r="A768" s="22"/>
      <c r="B768" s="16"/>
      <c r="C768" s="23"/>
      <c r="D768" s="24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8.75" customHeight="1" x14ac:dyDescent="0.2">
      <c r="A769" s="22"/>
      <c r="B769" s="16"/>
      <c r="C769" s="23"/>
      <c r="D769" s="24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8.75" customHeight="1" x14ac:dyDescent="0.2">
      <c r="A770" s="22"/>
      <c r="B770" s="16"/>
      <c r="C770" s="23"/>
      <c r="D770" s="24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8.75" customHeight="1" x14ac:dyDescent="0.2">
      <c r="A771" s="22"/>
      <c r="B771" s="16"/>
      <c r="C771" s="23"/>
      <c r="D771" s="24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8.75" customHeight="1" x14ac:dyDescent="0.2">
      <c r="A772" s="22"/>
      <c r="B772" s="16"/>
      <c r="C772" s="23"/>
      <c r="D772" s="24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8.75" customHeight="1" x14ac:dyDescent="0.2">
      <c r="A773" s="22"/>
      <c r="B773" s="16"/>
      <c r="C773" s="23"/>
      <c r="D773" s="24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8.75" customHeight="1" x14ac:dyDescent="0.2">
      <c r="A774" s="22"/>
      <c r="B774" s="16"/>
      <c r="C774" s="23"/>
      <c r="D774" s="24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8.75" customHeight="1" x14ac:dyDescent="0.2">
      <c r="A775" s="22"/>
      <c r="B775" s="16"/>
      <c r="C775" s="23"/>
      <c r="D775" s="24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8.75" customHeight="1" x14ac:dyDescent="0.2">
      <c r="A776" s="22"/>
      <c r="B776" s="16"/>
      <c r="C776" s="23"/>
      <c r="D776" s="24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8.75" customHeight="1" x14ac:dyDescent="0.2">
      <c r="A777" s="22"/>
      <c r="B777" s="16"/>
      <c r="C777" s="23"/>
      <c r="D777" s="24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8.75" customHeight="1" x14ac:dyDescent="0.2">
      <c r="A778" s="22"/>
      <c r="B778" s="16"/>
      <c r="C778" s="23"/>
      <c r="D778" s="24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8.75" customHeight="1" x14ac:dyDescent="0.2">
      <c r="A779" s="22"/>
      <c r="B779" s="16"/>
      <c r="C779" s="23"/>
      <c r="D779" s="24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8.75" customHeight="1" x14ac:dyDescent="0.2">
      <c r="A780" s="22"/>
      <c r="B780" s="16"/>
      <c r="C780" s="23"/>
      <c r="D780" s="24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8.75" customHeight="1" x14ac:dyDescent="0.2">
      <c r="A781" s="22"/>
      <c r="B781" s="16"/>
      <c r="C781" s="23"/>
      <c r="D781" s="24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8.75" customHeight="1" x14ac:dyDescent="0.2">
      <c r="A782" s="22"/>
      <c r="B782" s="16"/>
      <c r="C782" s="23"/>
      <c r="D782" s="24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8.75" customHeight="1" x14ac:dyDescent="0.2">
      <c r="A783" s="22"/>
      <c r="B783" s="16"/>
      <c r="C783" s="23"/>
      <c r="D783" s="24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8.75" customHeight="1" x14ac:dyDescent="0.2">
      <c r="A784" s="22"/>
      <c r="B784" s="16"/>
      <c r="C784" s="23"/>
      <c r="D784" s="24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8.75" customHeight="1" x14ac:dyDescent="0.2">
      <c r="A785" s="22"/>
      <c r="B785" s="16"/>
      <c r="C785" s="23"/>
      <c r="D785" s="24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8.75" customHeight="1" x14ac:dyDescent="0.2">
      <c r="A786" s="22"/>
      <c r="B786" s="16"/>
      <c r="C786" s="23"/>
      <c r="D786" s="24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8.75" customHeight="1" x14ac:dyDescent="0.2">
      <c r="A787" s="22"/>
      <c r="B787" s="16"/>
      <c r="C787" s="23"/>
      <c r="D787" s="24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8.75" customHeight="1" x14ac:dyDescent="0.2">
      <c r="A788" s="22"/>
      <c r="B788" s="16"/>
      <c r="C788" s="23"/>
      <c r="D788" s="24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8.75" customHeight="1" x14ac:dyDescent="0.2">
      <c r="A789" s="22"/>
      <c r="B789" s="16"/>
      <c r="C789" s="23"/>
      <c r="D789" s="24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8.75" customHeight="1" x14ac:dyDescent="0.2">
      <c r="A790" s="22"/>
      <c r="B790" s="16"/>
      <c r="C790" s="23"/>
      <c r="D790" s="24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8.75" customHeight="1" x14ac:dyDescent="0.2">
      <c r="A791" s="22"/>
      <c r="B791" s="16"/>
      <c r="C791" s="23"/>
      <c r="D791" s="24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8.75" customHeight="1" x14ac:dyDescent="0.2">
      <c r="A792" s="22"/>
      <c r="B792" s="16"/>
      <c r="C792" s="23"/>
      <c r="D792" s="24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8.75" customHeight="1" x14ac:dyDescent="0.2">
      <c r="A793" s="22"/>
      <c r="B793" s="16"/>
      <c r="C793" s="23"/>
      <c r="D793" s="24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8.75" customHeight="1" x14ac:dyDescent="0.2">
      <c r="A794" s="22"/>
      <c r="B794" s="16"/>
      <c r="C794" s="23"/>
      <c r="D794" s="24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8.75" customHeight="1" x14ac:dyDescent="0.2">
      <c r="A795" s="22"/>
      <c r="B795" s="16"/>
      <c r="C795" s="23"/>
      <c r="D795" s="24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8.75" customHeight="1" x14ac:dyDescent="0.2">
      <c r="A796" s="22"/>
      <c r="B796" s="16"/>
      <c r="C796" s="23"/>
      <c r="D796" s="24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8.75" customHeight="1" x14ac:dyDescent="0.2">
      <c r="A797" s="22"/>
      <c r="B797" s="16"/>
      <c r="C797" s="23"/>
      <c r="D797" s="24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8.75" customHeight="1" x14ac:dyDescent="0.2">
      <c r="A798" s="22"/>
      <c r="B798" s="16"/>
      <c r="C798" s="23"/>
      <c r="D798" s="24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8.75" customHeight="1" x14ac:dyDescent="0.2">
      <c r="A799" s="22"/>
      <c r="B799" s="16"/>
      <c r="C799" s="23"/>
      <c r="D799" s="24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8.75" customHeight="1" x14ac:dyDescent="0.2">
      <c r="A800" s="22"/>
      <c r="B800" s="16"/>
      <c r="C800" s="23"/>
      <c r="D800" s="24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8.75" customHeight="1" x14ac:dyDescent="0.2">
      <c r="A801" s="22"/>
      <c r="B801" s="16"/>
      <c r="C801" s="23"/>
      <c r="D801" s="24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8.75" customHeight="1" x14ac:dyDescent="0.2">
      <c r="A802" s="22"/>
      <c r="B802" s="16"/>
      <c r="C802" s="23"/>
      <c r="D802" s="24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8.75" customHeight="1" x14ac:dyDescent="0.2">
      <c r="A803" s="22"/>
      <c r="B803" s="16"/>
      <c r="C803" s="23"/>
      <c r="D803" s="24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8.75" customHeight="1" x14ac:dyDescent="0.2">
      <c r="A804" s="22"/>
      <c r="B804" s="16"/>
      <c r="C804" s="23"/>
      <c r="D804" s="24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8.75" customHeight="1" x14ac:dyDescent="0.2">
      <c r="A805" s="22"/>
      <c r="B805" s="16"/>
      <c r="C805" s="23"/>
      <c r="D805" s="24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8.75" customHeight="1" x14ac:dyDescent="0.2">
      <c r="A806" s="22"/>
      <c r="B806" s="16"/>
      <c r="C806" s="23"/>
      <c r="D806" s="24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8.75" customHeight="1" x14ac:dyDescent="0.2">
      <c r="A807" s="22"/>
      <c r="B807" s="16"/>
      <c r="C807" s="23"/>
      <c r="D807" s="24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8.75" customHeight="1" x14ac:dyDescent="0.2">
      <c r="A808" s="22"/>
      <c r="B808" s="16"/>
      <c r="C808" s="23"/>
      <c r="D808" s="24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8.75" customHeight="1" x14ac:dyDescent="0.2">
      <c r="A809" s="22"/>
      <c r="B809" s="16"/>
      <c r="C809" s="23"/>
      <c r="D809" s="24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8.75" customHeight="1" x14ac:dyDescent="0.2">
      <c r="A810" s="22"/>
      <c r="B810" s="16"/>
      <c r="C810" s="23"/>
      <c r="D810" s="24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8.75" customHeight="1" x14ac:dyDescent="0.2">
      <c r="A811" s="22"/>
      <c r="B811" s="16"/>
      <c r="C811" s="23"/>
      <c r="D811" s="24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8.75" customHeight="1" x14ac:dyDescent="0.2">
      <c r="A812" s="22"/>
      <c r="B812" s="16"/>
      <c r="C812" s="23"/>
      <c r="D812" s="24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8.75" customHeight="1" x14ac:dyDescent="0.2">
      <c r="A813" s="22"/>
      <c r="B813" s="16"/>
      <c r="C813" s="23"/>
      <c r="D813" s="24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8.75" customHeight="1" x14ac:dyDescent="0.2">
      <c r="A814" s="22"/>
      <c r="B814" s="16"/>
      <c r="C814" s="23"/>
      <c r="D814" s="24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8.75" customHeight="1" x14ac:dyDescent="0.2">
      <c r="A815" s="22"/>
      <c r="B815" s="16"/>
      <c r="C815" s="23"/>
      <c r="D815" s="24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8.75" customHeight="1" x14ac:dyDescent="0.2">
      <c r="A816" s="22"/>
      <c r="B816" s="16"/>
      <c r="C816" s="23"/>
      <c r="D816" s="24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8.75" customHeight="1" x14ac:dyDescent="0.2">
      <c r="A817" s="22"/>
      <c r="B817" s="16"/>
      <c r="C817" s="23"/>
      <c r="D817" s="24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8.75" customHeight="1" x14ac:dyDescent="0.2">
      <c r="A818" s="22"/>
      <c r="B818" s="16"/>
      <c r="C818" s="23"/>
      <c r="D818" s="24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8.75" customHeight="1" x14ac:dyDescent="0.2">
      <c r="A819" s="22"/>
      <c r="B819" s="16"/>
      <c r="C819" s="23"/>
      <c r="D819" s="24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8.75" customHeight="1" x14ac:dyDescent="0.2">
      <c r="A820" s="22"/>
      <c r="B820" s="16"/>
      <c r="C820" s="23"/>
      <c r="D820" s="24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8.75" customHeight="1" x14ac:dyDescent="0.2">
      <c r="A821" s="22"/>
      <c r="B821" s="16"/>
      <c r="C821" s="23"/>
      <c r="D821" s="24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8.75" customHeight="1" x14ac:dyDescent="0.2">
      <c r="A822" s="22"/>
      <c r="B822" s="16"/>
      <c r="C822" s="23"/>
      <c r="D822" s="24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8.75" customHeight="1" x14ac:dyDescent="0.2">
      <c r="A823" s="22"/>
      <c r="B823" s="16"/>
      <c r="C823" s="23"/>
      <c r="D823" s="24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8.75" customHeight="1" x14ac:dyDescent="0.2">
      <c r="A824" s="22"/>
      <c r="B824" s="16"/>
      <c r="C824" s="23"/>
      <c r="D824" s="24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8.75" customHeight="1" x14ac:dyDescent="0.2">
      <c r="A825" s="22"/>
      <c r="B825" s="16"/>
      <c r="C825" s="23"/>
      <c r="D825" s="24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8.75" customHeight="1" x14ac:dyDescent="0.2">
      <c r="A826" s="22"/>
      <c r="B826" s="16"/>
      <c r="C826" s="23"/>
      <c r="D826" s="24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8.75" customHeight="1" x14ac:dyDescent="0.2">
      <c r="A827" s="22"/>
      <c r="B827" s="16"/>
      <c r="C827" s="23"/>
      <c r="D827" s="24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8.75" customHeight="1" x14ac:dyDescent="0.2">
      <c r="A828" s="22"/>
      <c r="B828" s="16"/>
      <c r="C828" s="23"/>
      <c r="D828" s="24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8.75" customHeight="1" x14ac:dyDescent="0.2">
      <c r="A829" s="22"/>
      <c r="B829" s="16"/>
      <c r="C829" s="23"/>
      <c r="D829" s="24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8.75" customHeight="1" x14ac:dyDescent="0.2">
      <c r="A830" s="22"/>
      <c r="B830" s="16"/>
      <c r="C830" s="23"/>
      <c r="D830" s="24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8.75" customHeight="1" x14ac:dyDescent="0.2">
      <c r="A831" s="22"/>
      <c r="B831" s="16"/>
      <c r="C831" s="23"/>
      <c r="D831" s="24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8.75" customHeight="1" x14ac:dyDescent="0.2">
      <c r="A832" s="22"/>
      <c r="B832" s="16"/>
      <c r="C832" s="23"/>
      <c r="D832" s="24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8.75" customHeight="1" x14ac:dyDescent="0.2">
      <c r="A833" s="22"/>
      <c r="B833" s="16"/>
      <c r="C833" s="23"/>
      <c r="D833" s="24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8.75" customHeight="1" x14ac:dyDescent="0.2">
      <c r="A834" s="22"/>
      <c r="B834" s="16"/>
      <c r="C834" s="23"/>
      <c r="D834" s="24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8.75" customHeight="1" x14ac:dyDescent="0.2">
      <c r="A835" s="22"/>
      <c r="B835" s="16"/>
      <c r="C835" s="23"/>
      <c r="D835" s="24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8.75" customHeight="1" x14ac:dyDescent="0.2">
      <c r="A836" s="22"/>
      <c r="B836" s="16"/>
      <c r="C836" s="23"/>
      <c r="D836" s="24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8.75" customHeight="1" x14ac:dyDescent="0.2">
      <c r="A837" s="22"/>
      <c r="B837" s="16"/>
      <c r="C837" s="23"/>
      <c r="D837" s="24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8.75" customHeight="1" x14ac:dyDescent="0.2">
      <c r="A838" s="22"/>
      <c r="B838" s="16"/>
      <c r="C838" s="23"/>
      <c r="D838" s="24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8.75" customHeight="1" x14ac:dyDescent="0.2">
      <c r="A839" s="22"/>
      <c r="B839" s="16"/>
      <c r="C839" s="23"/>
      <c r="D839" s="24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8.75" customHeight="1" x14ac:dyDescent="0.2">
      <c r="A840" s="22"/>
      <c r="B840" s="16"/>
      <c r="C840" s="23"/>
      <c r="D840" s="24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8.75" customHeight="1" x14ac:dyDescent="0.2">
      <c r="A841" s="22"/>
      <c r="B841" s="16"/>
      <c r="C841" s="23"/>
      <c r="D841" s="24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8.75" customHeight="1" x14ac:dyDescent="0.2">
      <c r="A842" s="22"/>
      <c r="B842" s="16"/>
      <c r="C842" s="23"/>
      <c r="D842" s="24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8.75" customHeight="1" x14ac:dyDescent="0.2">
      <c r="A843" s="22"/>
      <c r="B843" s="16"/>
      <c r="C843" s="23"/>
      <c r="D843" s="24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8.75" customHeight="1" x14ac:dyDescent="0.2">
      <c r="A844" s="22"/>
      <c r="B844" s="16"/>
      <c r="C844" s="23"/>
      <c r="D844" s="24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8.75" customHeight="1" x14ac:dyDescent="0.2">
      <c r="A845" s="22"/>
      <c r="B845" s="16"/>
      <c r="C845" s="23"/>
      <c r="D845" s="24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8.75" customHeight="1" x14ac:dyDescent="0.2">
      <c r="A846" s="22"/>
      <c r="B846" s="16"/>
      <c r="C846" s="23"/>
      <c r="D846" s="24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8.75" customHeight="1" x14ac:dyDescent="0.2">
      <c r="A847" s="22"/>
      <c r="B847" s="16"/>
      <c r="C847" s="23"/>
      <c r="D847" s="24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8.75" customHeight="1" x14ac:dyDescent="0.2">
      <c r="A848" s="22"/>
      <c r="B848" s="16"/>
      <c r="C848" s="23"/>
      <c r="D848" s="24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8.75" customHeight="1" x14ac:dyDescent="0.2">
      <c r="A849" s="22"/>
      <c r="B849" s="16"/>
      <c r="C849" s="23"/>
      <c r="D849" s="24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8.75" customHeight="1" x14ac:dyDescent="0.2">
      <c r="A850" s="22"/>
      <c r="B850" s="16"/>
      <c r="C850" s="23"/>
      <c r="D850" s="24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8.75" customHeight="1" x14ac:dyDescent="0.2">
      <c r="A851" s="22"/>
      <c r="B851" s="16"/>
      <c r="C851" s="23"/>
      <c r="D851" s="24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8.75" customHeight="1" x14ac:dyDescent="0.2">
      <c r="A852" s="22"/>
      <c r="B852" s="16"/>
      <c r="C852" s="23"/>
      <c r="D852" s="24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8.75" customHeight="1" x14ac:dyDescent="0.2">
      <c r="A853" s="22"/>
      <c r="B853" s="16"/>
      <c r="C853" s="23"/>
      <c r="D853" s="24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8.75" customHeight="1" x14ac:dyDescent="0.2">
      <c r="A854" s="22"/>
      <c r="B854" s="16"/>
      <c r="C854" s="23"/>
      <c r="D854" s="24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8.75" customHeight="1" x14ac:dyDescent="0.2">
      <c r="A855" s="22"/>
      <c r="B855" s="16"/>
      <c r="C855" s="23"/>
      <c r="D855" s="24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8.75" customHeight="1" x14ac:dyDescent="0.2">
      <c r="A856" s="22"/>
      <c r="B856" s="16"/>
      <c r="C856" s="23"/>
      <c r="D856" s="24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8.75" customHeight="1" x14ac:dyDescent="0.2">
      <c r="A857" s="22"/>
      <c r="B857" s="16"/>
      <c r="C857" s="23"/>
      <c r="D857" s="24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8.75" customHeight="1" x14ac:dyDescent="0.2">
      <c r="A858" s="22"/>
      <c r="B858" s="16"/>
      <c r="C858" s="23"/>
      <c r="D858" s="24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8.75" customHeight="1" x14ac:dyDescent="0.2">
      <c r="A859" s="22"/>
      <c r="B859" s="16"/>
      <c r="C859" s="23"/>
      <c r="D859" s="24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8.75" customHeight="1" x14ac:dyDescent="0.2">
      <c r="A860" s="22"/>
      <c r="B860" s="16"/>
      <c r="C860" s="23"/>
      <c r="D860" s="24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8.75" customHeight="1" x14ac:dyDescent="0.2">
      <c r="A861" s="22"/>
      <c r="B861" s="16"/>
      <c r="C861" s="23"/>
      <c r="D861" s="24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8.75" customHeight="1" x14ac:dyDescent="0.2">
      <c r="A862" s="22"/>
      <c r="B862" s="16"/>
      <c r="C862" s="23"/>
      <c r="D862" s="24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8.75" customHeight="1" x14ac:dyDescent="0.2">
      <c r="A863" s="22"/>
      <c r="B863" s="16"/>
      <c r="C863" s="23"/>
      <c r="D863" s="24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8.75" customHeight="1" x14ac:dyDescent="0.2">
      <c r="A864" s="22"/>
      <c r="B864" s="16"/>
      <c r="C864" s="23"/>
      <c r="D864" s="24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8.75" customHeight="1" x14ac:dyDescent="0.2">
      <c r="A865" s="22"/>
      <c r="B865" s="16"/>
      <c r="C865" s="23"/>
      <c r="D865" s="24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8.75" customHeight="1" x14ac:dyDescent="0.2">
      <c r="A866" s="22"/>
      <c r="B866" s="16"/>
      <c r="C866" s="23"/>
      <c r="D866" s="24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8.75" customHeight="1" x14ac:dyDescent="0.2">
      <c r="A867" s="22"/>
      <c r="B867" s="16"/>
      <c r="C867" s="23"/>
      <c r="D867" s="24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8.75" customHeight="1" x14ac:dyDescent="0.2">
      <c r="A868" s="22"/>
      <c r="B868" s="16"/>
      <c r="C868" s="23"/>
      <c r="D868" s="24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8.75" customHeight="1" x14ac:dyDescent="0.2">
      <c r="A869" s="22"/>
      <c r="B869" s="16"/>
      <c r="C869" s="23"/>
      <c r="D869" s="24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8.75" customHeight="1" x14ac:dyDescent="0.2">
      <c r="A870" s="22"/>
      <c r="B870" s="16"/>
      <c r="C870" s="23"/>
      <c r="D870" s="24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8.75" customHeight="1" x14ac:dyDescent="0.2">
      <c r="A871" s="22"/>
      <c r="B871" s="16"/>
      <c r="C871" s="23"/>
      <c r="D871" s="24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8.75" customHeight="1" x14ac:dyDescent="0.2">
      <c r="A872" s="22"/>
      <c r="B872" s="16"/>
      <c r="C872" s="23"/>
      <c r="D872" s="24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8.75" customHeight="1" x14ac:dyDescent="0.2">
      <c r="A873" s="22"/>
      <c r="B873" s="16"/>
      <c r="C873" s="23"/>
      <c r="D873" s="24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8.75" customHeight="1" x14ac:dyDescent="0.2">
      <c r="A874" s="22"/>
      <c r="B874" s="16"/>
      <c r="C874" s="23"/>
      <c r="D874" s="24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8.75" customHeight="1" x14ac:dyDescent="0.2">
      <c r="A875" s="22"/>
      <c r="B875" s="16"/>
      <c r="C875" s="23"/>
      <c r="D875" s="24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8.75" customHeight="1" x14ac:dyDescent="0.2">
      <c r="A876" s="22"/>
      <c r="B876" s="16"/>
      <c r="C876" s="23"/>
      <c r="D876" s="24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8.75" customHeight="1" x14ac:dyDescent="0.2">
      <c r="A877" s="22"/>
      <c r="B877" s="16"/>
      <c r="C877" s="23"/>
      <c r="D877" s="24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8.75" customHeight="1" x14ac:dyDescent="0.2">
      <c r="A878" s="22"/>
      <c r="B878" s="16"/>
      <c r="C878" s="23"/>
      <c r="D878" s="24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8.75" customHeight="1" x14ac:dyDescent="0.2">
      <c r="A879" s="22"/>
      <c r="B879" s="16"/>
      <c r="C879" s="23"/>
      <c r="D879" s="24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8.75" customHeight="1" x14ac:dyDescent="0.2">
      <c r="A880" s="22"/>
      <c r="B880" s="16"/>
      <c r="C880" s="23"/>
      <c r="D880" s="24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8.75" customHeight="1" x14ac:dyDescent="0.2">
      <c r="A881" s="22"/>
      <c r="B881" s="16"/>
      <c r="C881" s="23"/>
      <c r="D881" s="24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8.75" customHeight="1" x14ac:dyDescent="0.2">
      <c r="A882" s="22"/>
      <c r="B882" s="16"/>
      <c r="C882" s="23"/>
      <c r="D882" s="24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8.75" customHeight="1" x14ac:dyDescent="0.2">
      <c r="A883" s="22"/>
      <c r="B883" s="16"/>
      <c r="C883" s="23"/>
      <c r="D883" s="24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8.75" customHeight="1" x14ac:dyDescent="0.2">
      <c r="A884" s="22"/>
      <c r="B884" s="16"/>
      <c r="C884" s="23"/>
      <c r="D884" s="24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8.75" customHeight="1" x14ac:dyDescent="0.2">
      <c r="A885" s="22"/>
      <c r="B885" s="16"/>
      <c r="C885" s="23"/>
      <c r="D885" s="24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8.75" customHeight="1" x14ac:dyDescent="0.2">
      <c r="A886" s="22"/>
      <c r="B886" s="16"/>
      <c r="C886" s="23"/>
      <c r="D886" s="24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8.75" customHeight="1" x14ac:dyDescent="0.2">
      <c r="A887" s="22"/>
      <c r="B887" s="16"/>
      <c r="C887" s="23"/>
      <c r="D887" s="24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8.75" customHeight="1" x14ac:dyDescent="0.2">
      <c r="A888" s="22"/>
      <c r="B888" s="16"/>
      <c r="C888" s="23"/>
      <c r="D888" s="24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8.75" customHeight="1" x14ac:dyDescent="0.2">
      <c r="A889" s="22"/>
      <c r="B889" s="16"/>
      <c r="C889" s="23"/>
      <c r="D889" s="24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8.75" customHeight="1" x14ac:dyDescent="0.2">
      <c r="A890" s="22"/>
      <c r="B890" s="16"/>
      <c r="C890" s="23"/>
      <c r="D890" s="24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8.75" customHeight="1" x14ac:dyDescent="0.2">
      <c r="A891" s="22"/>
      <c r="B891" s="16"/>
      <c r="C891" s="23"/>
      <c r="D891" s="24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8.75" customHeight="1" x14ac:dyDescent="0.2">
      <c r="A892" s="22"/>
      <c r="B892" s="16"/>
      <c r="C892" s="23"/>
      <c r="D892" s="24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8.75" customHeight="1" x14ac:dyDescent="0.2">
      <c r="A893" s="22"/>
      <c r="B893" s="16"/>
      <c r="C893" s="23"/>
      <c r="D893" s="24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8.75" customHeight="1" x14ac:dyDescent="0.2">
      <c r="A894" s="22"/>
      <c r="B894" s="16"/>
      <c r="C894" s="23"/>
      <c r="D894" s="24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8.75" customHeight="1" x14ac:dyDescent="0.2">
      <c r="A895" s="22"/>
      <c r="B895" s="16"/>
      <c r="C895" s="23"/>
      <c r="D895" s="24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8.75" customHeight="1" x14ac:dyDescent="0.2">
      <c r="A896" s="22"/>
      <c r="B896" s="16"/>
      <c r="C896" s="23"/>
      <c r="D896" s="24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8.75" customHeight="1" x14ac:dyDescent="0.2">
      <c r="A897" s="22"/>
      <c r="B897" s="16"/>
      <c r="C897" s="23"/>
      <c r="D897" s="24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8.75" customHeight="1" x14ac:dyDescent="0.2">
      <c r="A898" s="22"/>
      <c r="B898" s="16"/>
      <c r="C898" s="23"/>
      <c r="D898" s="24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8.75" customHeight="1" x14ac:dyDescent="0.2">
      <c r="A899" s="22"/>
      <c r="B899" s="16"/>
      <c r="C899" s="23"/>
      <c r="D899" s="24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8.75" customHeight="1" x14ac:dyDescent="0.2">
      <c r="A900" s="22"/>
      <c r="B900" s="16"/>
      <c r="C900" s="23"/>
      <c r="D900" s="24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8.75" customHeight="1" x14ac:dyDescent="0.2">
      <c r="A901" s="22"/>
      <c r="B901" s="16"/>
      <c r="C901" s="23"/>
      <c r="D901" s="24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8.75" customHeight="1" x14ac:dyDescent="0.2">
      <c r="A902" s="22"/>
      <c r="B902" s="16"/>
      <c r="C902" s="23"/>
      <c r="D902" s="24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8.75" customHeight="1" x14ac:dyDescent="0.2">
      <c r="A903" s="22"/>
      <c r="B903" s="16"/>
      <c r="C903" s="23"/>
      <c r="D903" s="24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8.75" customHeight="1" x14ac:dyDescent="0.2">
      <c r="A904" s="22"/>
      <c r="B904" s="16"/>
      <c r="C904" s="23"/>
      <c r="D904" s="24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8.75" customHeight="1" x14ac:dyDescent="0.2">
      <c r="A905" s="22"/>
      <c r="B905" s="16"/>
      <c r="C905" s="23"/>
      <c r="D905" s="24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8.75" customHeight="1" x14ac:dyDescent="0.2">
      <c r="A906" s="22"/>
      <c r="B906" s="16"/>
      <c r="C906" s="23"/>
      <c r="D906" s="24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8.75" customHeight="1" x14ac:dyDescent="0.2">
      <c r="A907" s="22"/>
      <c r="B907" s="16"/>
      <c r="C907" s="23"/>
      <c r="D907" s="24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8.75" customHeight="1" x14ac:dyDescent="0.2">
      <c r="A908" s="22"/>
      <c r="B908" s="16"/>
      <c r="C908" s="23"/>
      <c r="D908" s="24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8.75" customHeight="1" x14ac:dyDescent="0.2">
      <c r="A909" s="22"/>
      <c r="B909" s="16"/>
      <c r="C909" s="23"/>
      <c r="D909" s="24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8.75" customHeight="1" x14ac:dyDescent="0.2">
      <c r="A910" s="22"/>
      <c r="B910" s="16"/>
      <c r="C910" s="23"/>
      <c r="D910" s="24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8.75" customHeight="1" x14ac:dyDescent="0.2">
      <c r="A911" s="22"/>
      <c r="B911" s="16"/>
      <c r="C911" s="23"/>
      <c r="D911" s="24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8.75" customHeight="1" x14ac:dyDescent="0.2">
      <c r="A912" s="22"/>
      <c r="B912" s="16"/>
      <c r="C912" s="23"/>
      <c r="D912" s="24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8.75" customHeight="1" x14ac:dyDescent="0.2">
      <c r="A913" s="22"/>
      <c r="B913" s="16"/>
      <c r="C913" s="23"/>
      <c r="D913" s="24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8.75" customHeight="1" x14ac:dyDescent="0.2">
      <c r="A914" s="22"/>
      <c r="B914" s="16"/>
      <c r="C914" s="23"/>
      <c r="D914" s="24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8.75" customHeight="1" x14ac:dyDescent="0.2">
      <c r="A915" s="22"/>
      <c r="B915" s="16"/>
      <c r="C915" s="23"/>
      <c r="D915" s="24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8.75" customHeight="1" x14ac:dyDescent="0.2">
      <c r="A916" s="22"/>
      <c r="B916" s="16"/>
      <c r="C916" s="23"/>
      <c r="D916" s="24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8.75" customHeight="1" x14ac:dyDescent="0.2">
      <c r="A917" s="22"/>
      <c r="B917" s="16"/>
      <c r="C917" s="23"/>
      <c r="D917" s="24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8.75" customHeight="1" x14ac:dyDescent="0.2">
      <c r="A918" s="22"/>
      <c r="B918" s="16"/>
      <c r="C918" s="23"/>
      <c r="D918" s="24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8.75" customHeight="1" x14ac:dyDescent="0.2">
      <c r="A919" s="22"/>
      <c r="B919" s="16"/>
      <c r="C919" s="23"/>
      <c r="D919" s="24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8.75" customHeight="1" x14ac:dyDescent="0.2">
      <c r="A920" s="22"/>
      <c r="B920" s="16"/>
      <c r="C920" s="23"/>
      <c r="D920" s="24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8.75" customHeight="1" x14ac:dyDescent="0.2">
      <c r="A921" s="22"/>
      <c r="B921" s="16"/>
      <c r="C921" s="23"/>
      <c r="D921" s="24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8.75" customHeight="1" x14ac:dyDescent="0.2">
      <c r="A922" s="22"/>
      <c r="B922" s="16"/>
      <c r="C922" s="23"/>
      <c r="D922" s="24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8.75" customHeight="1" x14ac:dyDescent="0.2">
      <c r="A923" s="22"/>
      <c r="B923" s="16"/>
      <c r="C923" s="23"/>
      <c r="D923" s="24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8.75" customHeight="1" x14ac:dyDescent="0.2">
      <c r="A924" s="22"/>
      <c r="B924" s="16"/>
      <c r="C924" s="23"/>
      <c r="D924" s="24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8.75" customHeight="1" x14ac:dyDescent="0.2">
      <c r="A925" s="22"/>
      <c r="B925" s="16"/>
      <c r="C925" s="23"/>
      <c r="D925" s="24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8.75" customHeight="1" x14ac:dyDescent="0.2">
      <c r="A926" s="22"/>
      <c r="B926" s="16"/>
      <c r="C926" s="23"/>
      <c r="D926" s="24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8.75" customHeight="1" x14ac:dyDescent="0.2">
      <c r="A927" s="22"/>
      <c r="B927" s="16"/>
      <c r="C927" s="23"/>
      <c r="D927" s="24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8.75" customHeight="1" x14ac:dyDescent="0.2">
      <c r="A928" s="22"/>
      <c r="B928" s="16"/>
      <c r="C928" s="23"/>
      <c r="D928" s="24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8.75" customHeight="1" x14ac:dyDescent="0.2">
      <c r="A929" s="22"/>
      <c r="B929" s="16"/>
      <c r="C929" s="23"/>
      <c r="D929" s="24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8.75" customHeight="1" x14ac:dyDescent="0.2">
      <c r="A930" s="22"/>
      <c r="B930" s="16"/>
      <c r="C930" s="23"/>
      <c r="D930" s="24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8.75" customHeight="1" x14ac:dyDescent="0.2">
      <c r="A931" s="22"/>
      <c r="B931" s="16"/>
      <c r="C931" s="23"/>
      <c r="D931" s="24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8.75" customHeight="1" x14ac:dyDescent="0.2">
      <c r="A932" s="22"/>
      <c r="B932" s="16"/>
      <c r="C932" s="23"/>
      <c r="D932" s="24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8.75" customHeight="1" x14ac:dyDescent="0.2">
      <c r="A933" s="22"/>
      <c r="B933" s="16"/>
      <c r="C933" s="23"/>
      <c r="D933" s="24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8.75" customHeight="1" x14ac:dyDescent="0.2">
      <c r="A934" s="22"/>
      <c r="B934" s="16"/>
      <c r="C934" s="23"/>
      <c r="D934" s="24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8.75" customHeight="1" x14ac:dyDescent="0.2">
      <c r="A935" s="22"/>
      <c r="B935" s="16"/>
      <c r="C935" s="23"/>
      <c r="D935" s="24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8.75" customHeight="1" x14ac:dyDescent="0.2">
      <c r="A936" s="22"/>
      <c r="B936" s="16"/>
      <c r="C936" s="23"/>
      <c r="D936" s="24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8.75" customHeight="1" x14ac:dyDescent="0.2">
      <c r="A937" s="22"/>
      <c r="B937" s="16"/>
      <c r="C937" s="23"/>
      <c r="D937" s="24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8.75" customHeight="1" x14ac:dyDescent="0.2">
      <c r="A938" s="22"/>
      <c r="B938" s="16"/>
      <c r="C938" s="23"/>
      <c r="D938" s="24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8.75" customHeight="1" x14ac:dyDescent="0.2">
      <c r="A939" s="22"/>
      <c r="B939" s="16"/>
      <c r="C939" s="23"/>
      <c r="D939" s="24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8.75" customHeight="1" x14ac:dyDescent="0.2">
      <c r="A940" s="22"/>
      <c r="B940" s="16"/>
      <c r="C940" s="23"/>
      <c r="D940" s="24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8.75" customHeight="1" x14ac:dyDescent="0.2">
      <c r="A941" s="22"/>
      <c r="B941" s="16"/>
      <c r="C941" s="23"/>
      <c r="D941" s="24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8.75" customHeight="1" x14ac:dyDescent="0.2">
      <c r="A942" s="22"/>
      <c r="B942" s="16"/>
      <c r="C942" s="23"/>
      <c r="D942" s="24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8.75" customHeight="1" x14ac:dyDescent="0.2">
      <c r="A943" s="22"/>
      <c r="B943" s="16"/>
      <c r="C943" s="23"/>
      <c r="D943" s="24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8.75" customHeight="1" x14ac:dyDescent="0.2">
      <c r="A944" s="22"/>
      <c r="B944" s="16"/>
      <c r="C944" s="23"/>
      <c r="D944" s="24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8.75" customHeight="1" x14ac:dyDescent="0.2">
      <c r="A945" s="22"/>
      <c r="B945" s="16"/>
      <c r="C945" s="23"/>
      <c r="D945" s="24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8.75" customHeight="1" x14ac:dyDescent="0.2">
      <c r="A946" s="22"/>
      <c r="B946" s="16"/>
      <c r="C946" s="23"/>
      <c r="D946" s="24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8.75" customHeight="1" x14ac:dyDescent="0.2">
      <c r="A947" s="22"/>
      <c r="B947" s="16"/>
      <c r="C947" s="23"/>
      <c r="D947" s="24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8.75" customHeight="1" x14ac:dyDescent="0.2">
      <c r="A948" s="22"/>
      <c r="B948" s="16"/>
      <c r="C948" s="23"/>
      <c r="D948" s="24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8.75" customHeight="1" x14ac:dyDescent="0.2">
      <c r="A949" s="22"/>
      <c r="B949" s="16"/>
      <c r="C949" s="23"/>
      <c r="D949" s="24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8.75" customHeight="1" x14ac:dyDescent="0.2">
      <c r="A950" s="22"/>
      <c r="B950" s="16"/>
      <c r="C950" s="23"/>
      <c r="D950" s="24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8.75" customHeight="1" x14ac:dyDescent="0.2">
      <c r="A951" s="22"/>
      <c r="B951" s="16"/>
      <c r="C951" s="23"/>
      <c r="D951" s="24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8.75" customHeight="1" x14ac:dyDescent="0.2">
      <c r="A952" s="22"/>
      <c r="B952" s="16"/>
      <c r="C952" s="23"/>
      <c r="D952" s="24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8.75" customHeight="1" x14ac:dyDescent="0.2">
      <c r="A953" s="22"/>
      <c r="B953" s="16"/>
      <c r="C953" s="23"/>
      <c r="D953" s="24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8.75" customHeight="1" x14ac:dyDescent="0.2">
      <c r="A954" s="22"/>
      <c r="B954" s="16"/>
      <c r="C954" s="23"/>
      <c r="D954" s="24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8.75" customHeight="1" x14ac:dyDescent="0.2">
      <c r="A955" s="22"/>
      <c r="B955" s="16"/>
      <c r="C955" s="23"/>
      <c r="D955" s="24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8.75" customHeight="1" x14ac:dyDescent="0.2">
      <c r="A956" s="22"/>
      <c r="B956" s="16"/>
      <c r="C956" s="23"/>
      <c r="D956" s="24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8.75" customHeight="1" x14ac:dyDescent="0.2">
      <c r="A957" s="22"/>
      <c r="B957" s="16"/>
      <c r="C957" s="23"/>
      <c r="D957" s="24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8.75" customHeight="1" x14ac:dyDescent="0.2">
      <c r="A958" s="22"/>
      <c r="B958" s="16"/>
      <c r="C958" s="23"/>
      <c r="D958" s="24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8.75" customHeight="1" x14ac:dyDescent="0.2">
      <c r="A959" s="22"/>
      <c r="B959" s="16"/>
      <c r="C959" s="23"/>
      <c r="D959" s="24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8.75" customHeight="1" x14ac:dyDescent="0.2">
      <c r="A960" s="22"/>
      <c r="B960" s="16"/>
      <c r="C960" s="23"/>
      <c r="D960" s="24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8.75" customHeight="1" x14ac:dyDescent="0.2">
      <c r="A961" s="22"/>
      <c r="B961" s="16"/>
      <c r="C961" s="23"/>
      <c r="D961" s="24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8.75" customHeight="1" x14ac:dyDescent="0.2">
      <c r="A962" s="22"/>
      <c r="B962" s="16"/>
      <c r="C962" s="23"/>
      <c r="D962" s="24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8.75" customHeight="1" x14ac:dyDescent="0.2">
      <c r="A963" s="22"/>
      <c r="B963" s="16"/>
      <c r="C963" s="23"/>
      <c r="D963" s="24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8.75" customHeight="1" x14ac:dyDescent="0.2">
      <c r="A964" s="22"/>
      <c r="B964" s="16"/>
      <c r="C964" s="23"/>
      <c r="D964" s="24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8.75" customHeight="1" x14ac:dyDescent="0.2">
      <c r="A965" s="22"/>
      <c r="B965" s="16"/>
      <c r="C965" s="23"/>
      <c r="D965" s="24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8.75" customHeight="1" x14ac:dyDescent="0.2">
      <c r="A966" s="22"/>
      <c r="B966" s="16"/>
      <c r="C966" s="23"/>
      <c r="D966" s="24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8.75" customHeight="1" x14ac:dyDescent="0.2">
      <c r="A967" s="22"/>
      <c r="B967" s="16"/>
      <c r="C967" s="23"/>
      <c r="D967" s="24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8.75" customHeight="1" x14ac:dyDescent="0.2">
      <c r="A968" s="22"/>
      <c r="B968" s="16"/>
      <c r="C968" s="23"/>
      <c r="D968" s="24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8.75" customHeight="1" x14ac:dyDescent="0.2">
      <c r="A969" s="22"/>
      <c r="B969" s="16"/>
      <c r="C969" s="23"/>
      <c r="D969" s="24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8.75" customHeight="1" x14ac:dyDescent="0.2">
      <c r="A970" s="22"/>
      <c r="B970" s="16"/>
      <c r="C970" s="23"/>
      <c r="D970" s="24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8.75" customHeight="1" x14ac:dyDescent="0.2">
      <c r="A971" s="22"/>
      <c r="B971" s="16"/>
      <c r="C971" s="23"/>
      <c r="D971" s="24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8.75" customHeight="1" x14ac:dyDescent="0.2">
      <c r="A972" s="22"/>
      <c r="B972" s="16"/>
      <c r="C972" s="23"/>
      <c r="D972" s="24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8.75" customHeight="1" x14ac:dyDescent="0.2">
      <c r="A973" s="22"/>
      <c r="B973" s="16"/>
      <c r="C973" s="23"/>
      <c r="D973" s="24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8.75" customHeight="1" x14ac:dyDescent="0.2">
      <c r="A974" s="22"/>
      <c r="B974" s="16"/>
      <c r="C974" s="23"/>
      <c r="D974" s="24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8.75" customHeight="1" x14ac:dyDescent="0.2">
      <c r="A975" s="22"/>
      <c r="B975" s="16"/>
      <c r="C975" s="23"/>
      <c r="D975" s="24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8.75" customHeight="1" x14ac:dyDescent="0.2">
      <c r="A976" s="22"/>
      <c r="B976" s="16"/>
      <c r="C976" s="23"/>
      <c r="D976" s="24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8.75" customHeight="1" x14ac:dyDescent="0.2">
      <c r="A977" s="22"/>
      <c r="B977" s="16"/>
      <c r="C977" s="23"/>
      <c r="D977" s="24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8.75" customHeight="1" x14ac:dyDescent="0.2">
      <c r="A978" s="22"/>
      <c r="B978" s="16"/>
      <c r="C978" s="23"/>
      <c r="D978" s="24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8.75" customHeight="1" x14ac:dyDescent="0.2">
      <c r="A979" s="22"/>
      <c r="B979" s="16"/>
      <c r="C979" s="23"/>
      <c r="D979" s="24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8.75" customHeight="1" x14ac:dyDescent="0.2">
      <c r="A980" s="22"/>
      <c r="B980" s="16"/>
      <c r="C980" s="23"/>
      <c r="D980" s="24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8.75" customHeight="1" x14ac:dyDescent="0.2">
      <c r="A981" s="22"/>
      <c r="B981" s="16"/>
      <c r="C981" s="23"/>
      <c r="D981" s="24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8.75" customHeight="1" x14ac:dyDescent="0.2">
      <c r="A982" s="22"/>
      <c r="B982" s="16"/>
      <c r="C982" s="23"/>
      <c r="D982" s="24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8.75" customHeight="1" x14ac:dyDescent="0.2">
      <c r="A983" s="22"/>
      <c r="B983" s="16"/>
      <c r="C983" s="23"/>
      <c r="D983" s="24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8.75" customHeight="1" x14ac:dyDescent="0.2">
      <c r="A984" s="22"/>
      <c r="B984" s="16"/>
      <c r="C984" s="23"/>
      <c r="D984" s="24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8.75" customHeight="1" x14ac:dyDescent="0.2">
      <c r="A985" s="22"/>
      <c r="B985" s="16"/>
      <c r="C985" s="23"/>
      <c r="D985" s="24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8.75" customHeight="1" x14ac:dyDescent="0.2">
      <c r="A986" s="22"/>
      <c r="B986" s="16"/>
      <c r="C986" s="23"/>
      <c r="D986" s="24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8.75" customHeight="1" x14ac:dyDescent="0.2">
      <c r="A987" s="22"/>
      <c r="B987" s="16"/>
      <c r="C987" s="23"/>
      <c r="D987" s="24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8.75" customHeight="1" x14ac:dyDescent="0.2">
      <c r="A988" s="22"/>
      <c r="B988" s="16"/>
      <c r="C988" s="23"/>
      <c r="D988" s="24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8.75" customHeight="1" x14ac:dyDescent="0.2">
      <c r="A989" s="22"/>
      <c r="B989" s="16"/>
      <c r="C989" s="23"/>
      <c r="D989" s="24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8.75" customHeight="1" x14ac:dyDescent="0.2">
      <c r="A990" s="22"/>
      <c r="B990" s="16"/>
      <c r="C990" s="23"/>
      <c r="D990" s="24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8.75" customHeight="1" x14ac:dyDescent="0.2">
      <c r="A991" s="22"/>
      <c r="B991" s="16"/>
      <c r="C991" s="23"/>
      <c r="D991" s="24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8.75" customHeight="1" x14ac:dyDescent="0.2">
      <c r="A992" s="22"/>
      <c r="B992" s="16"/>
      <c r="C992" s="23"/>
      <c r="D992" s="24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8.75" customHeight="1" x14ac:dyDescent="0.2">
      <c r="A993" s="22"/>
      <c r="B993" s="16"/>
      <c r="C993" s="23"/>
      <c r="D993" s="24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8.75" customHeight="1" x14ac:dyDescent="0.2">
      <c r="A994" s="22"/>
      <c r="B994" s="16"/>
      <c r="C994" s="23"/>
      <c r="D994" s="24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8.75" customHeight="1" x14ac:dyDescent="0.2">
      <c r="A995" s="22"/>
      <c r="B995" s="16"/>
      <c r="C995" s="23"/>
      <c r="D995" s="24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8.75" customHeight="1" x14ac:dyDescent="0.2">
      <c r="A996" s="22"/>
      <c r="B996" s="16"/>
      <c r="C996" s="23"/>
      <c r="D996" s="24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8.75" customHeight="1" x14ac:dyDescent="0.2">
      <c r="A997" s="22"/>
      <c r="B997" s="16"/>
      <c r="C997" s="23"/>
      <c r="D997" s="24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8.75" customHeight="1" x14ac:dyDescent="0.2">
      <c r="A998" s="22"/>
      <c r="B998" s="16"/>
      <c r="C998" s="23"/>
      <c r="D998" s="24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8.75" customHeight="1" x14ac:dyDescent="0.2">
      <c r="A999" s="22"/>
      <c r="B999" s="16"/>
      <c r="C999" s="23"/>
      <c r="D999" s="24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8.75" customHeight="1" x14ac:dyDescent="0.2">
      <c r="A1000" s="22"/>
      <c r="B1000" s="16"/>
      <c r="C1000" s="23"/>
      <c r="D1000" s="24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35">
    <mergeCell ref="A1:B2"/>
    <mergeCell ref="C1:P1"/>
    <mergeCell ref="Q1:R1"/>
    <mergeCell ref="C2:P2"/>
    <mergeCell ref="Q2:R2"/>
    <mergeCell ref="C4:R4"/>
    <mergeCell ref="A5:R5"/>
    <mergeCell ref="N6:P6"/>
    <mergeCell ref="N7:P7"/>
    <mergeCell ref="D8:R8"/>
    <mergeCell ref="J9:R9"/>
    <mergeCell ref="J10:R10"/>
    <mergeCell ref="A6:D6"/>
    <mergeCell ref="E6:H6"/>
    <mergeCell ref="I6:M6"/>
    <mergeCell ref="Q6:R6"/>
    <mergeCell ref="Q7:R7"/>
    <mergeCell ref="I7:M7"/>
    <mergeCell ref="E7:H7"/>
    <mergeCell ref="A7:D7"/>
    <mergeCell ref="A8:C8"/>
    <mergeCell ref="A9:I9"/>
    <mergeCell ref="A10:I10"/>
    <mergeCell ref="B11:D11"/>
    <mergeCell ref="B12:D12"/>
    <mergeCell ref="B13:D13"/>
    <mergeCell ref="A20:C20"/>
    <mergeCell ref="D20:J20"/>
    <mergeCell ref="A16:J16"/>
    <mergeCell ref="A17:C17"/>
    <mergeCell ref="D17:J17"/>
    <mergeCell ref="A18:C18"/>
    <mergeCell ref="D18:J18"/>
    <mergeCell ref="A19:C19"/>
    <mergeCell ref="D19:J19"/>
  </mergeCells>
  <printOptions horizontalCentered="1"/>
  <pageMargins left="0.70866141732283472" right="0.70866141732283472" top="0.74803149606299213" bottom="0.74803149606299213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1001"/>
  <sheetViews>
    <sheetView topLeftCell="A16" zoomScale="92" zoomScaleNormal="40" workbookViewId="0">
      <selection activeCell="B18" sqref="B18:D18"/>
    </sheetView>
  </sheetViews>
  <sheetFormatPr baseColWidth="10" defaultColWidth="10.140625" defaultRowHeight="15" customHeight="1" x14ac:dyDescent="0.2"/>
  <cols>
    <col min="1" max="1" width="11" customWidth="1"/>
    <col min="2" max="2" width="95.42578125" customWidth="1"/>
    <col min="3" max="3" width="28.42578125" customWidth="1"/>
    <col min="4" max="4" width="38.140625" customWidth="1"/>
    <col min="5" max="5" width="14.85546875" customWidth="1"/>
    <col min="6" max="6" width="15.85546875" customWidth="1"/>
    <col min="7" max="7" width="14.85546875" customWidth="1"/>
    <col min="8" max="8" width="13.140625" customWidth="1"/>
    <col min="9" max="9" width="87.7109375" bestFit="1" customWidth="1"/>
    <col min="10" max="10" width="19.85546875" customWidth="1"/>
    <col min="11" max="12" width="20.85546875" customWidth="1"/>
    <col min="13" max="13" width="26.85546875" customWidth="1"/>
    <col min="14" max="14" width="46.140625" customWidth="1"/>
    <col min="15" max="15" width="41.85546875" customWidth="1"/>
    <col min="16" max="16" width="35.140625" customWidth="1"/>
    <col min="17" max="17" width="26.140625" customWidth="1"/>
    <col min="18" max="18" width="100.85546875" customWidth="1"/>
    <col min="19" max="27" width="11" customWidth="1"/>
  </cols>
  <sheetData>
    <row r="1" spans="1:27" ht="34.5" customHeight="1" x14ac:dyDescent="0.2">
      <c r="A1" s="149"/>
      <c r="B1" s="150"/>
      <c r="C1" s="153" t="s">
        <v>0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2"/>
      <c r="Q1" s="153" t="s">
        <v>1</v>
      </c>
      <c r="R1" s="132"/>
      <c r="S1" s="16"/>
      <c r="T1" s="16"/>
      <c r="U1" s="16"/>
      <c r="V1" s="16"/>
      <c r="W1" s="16"/>
      <c r="X1" s="16"/>
      <c r="Y1" s="16"/>
      <c r="Z1" s="16"/>
      <c r="AA1" s="16"/>
    </row>
    <row r="2" spans="1:27" ht="251" customHeight="1" x14ac:dyDescent="0.2">
      <c r="A2" s="151"/>
      <c r="B2" s="152"/>
      <c r="C2" s="153" t="s">
        <v>2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53" t="s">
        <v>3</v>
      </c>
      <c r="R2" s="132"/>
      <c r="S2" s="16"/>
      <c r="T2" s="16"/>
      <c r="U2" s="16"/>
      <c r="V2" s="16"/>
      <c r="W2" s="16"/>
      <c r="X2" s="16"/>
      <c r="Y2" s="16"/>
      <c r="Z2" s="16"/>
      <c r="AA2" s="16"/>
    </row>
    <row r="3" spans="1:27" ht="30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6"/>
      <c r="T3" s="16"/>
      <c r="U3" s="16"/>
      <c r="V3" s="16"/>
      <c r="W3" s="16"/>
      <c r="X3" s="16"/>
      <c r="Y3" s="16"/>
      <c r="Z3" s="16"/>
      <c r="AA3" s="16"/>
    </row>
    <row r="4" spans="1:27" ht="30" customHeight="1" x14ac:dyDescent="0.2">
      <c r="A4" s="3" t="s">
        <v>4</v>
      </c>
      <c r="B4" s="3"/>
      <c r="C4" s="145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2"/>
      <c r="S4" s="16"/>
      <c r="T4" s="16"/>
      <c r="U4" s="16"/>
      <c r="V4" s="16"/>
      <c r="W4" s="16"/>
      <c r="X4" s="16"/>
      <c r="Y4" s="16"/>
      <c r="Z4" s="16"/>
      <c r="AA4" s="16"/>
    </row>
    <row r="5" spans="1:27" ht="30" customHeight="1" x14ac:dyDescent="0.2">
      <c r="A5" s="146" t="s">
        <v>5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2"/>
      <c r="S5" s="16"/>
      <c r="T5" s="16"/>
      <c r="U5" s="16"/>
      <c r="V5" s="16"/>
      <c r="W5" s="16"/>
      <c r="X5" s="16"/>
      <c r="Y5" s="16"/>
      <c r="Z5" s="16"/>
      <c r="AA5" s="16"/>
    </row>
    <row r="6" spans="1:27" ht="30" customHeight="1" x14ac:dyDescent="0.2">
      <c r="A6" s="177" t="s">
        <v>6</v>
      </c>
      <c r="B6" s="131"/>
      <c r="C6" s="131"/>
      <c r="D6" s="132"/>
      <c r="E6" s="177" t="s">
        <v>7</v>
      </c>
      <c r="F6" s="131"/>
      <c r="G6" s="131"/>
      <c r="H6" s="132"/>
      <c r="I6" s="177" t="s">
        <v>8</v>
      </c>
      <c r="J6" s="131"/>
      <c r="K6" s="131"/>
      <c r="L6" s="131"/>
      <c r="M6" s="132"/>
      <c r="N6" s="177" t="s">
        <v>9</v>
      </c>
      <c r="O6" s="131"/>
      <c r="P6" s="132"/>
      <c r="Q6" s="177" t="s">
        <v>10</v>
      </c>
      <c r="R6" s="132"/>
      <c r="S6" s="16"/>
      <c r="T6" s="16"/>
      <c r="U6" s="16"/>
      <c r="V6" s="16"/>
      <c r="W6" s="16"/>
      <c r="X6" s="16"/>
      <c r="Y6" s="16"/>
      <c r="Z6" s="16"/>
      <c r="AA6" s="16"/>
    </row>
    <row r="7" spans="1:27" ht="134" customHeight="1" x14ac:dyDescent="0.2">
      <c r="A7" s="139">
        <f>'DOCUMENTO INTERNO'!A7:D7</f>
        <v>0</v>
      </c>
      <c r="B7" s="140"/>
      <c r="C7" s="140"/>
      <c r="D7" s="141"/>
      <c r="E7" s="139">
        <f>'DOCUMENTO INTERNO'!E7:H7</f>
        <v>0</v>
      </c>
      <c r="F7" s="140"/>
      <c r="G7" s="140"/>
      <c r="H7" s="141"/>
      <c r="I7" s="139">
        <f>'DOCUMENTO INTERNO'!I7:M7</f>
        <v>0</v>
      </c>
      <c r="J7" s="140"/>
      <c r="K7" s="140"/>
      <c r="L7" s="140"/>
      <c r="M7" s="141"/>
      <c r="N7" s="147">
        <f>'DOCUMENTO INTERNO'!N7:P7</f>
        <v>0</v>
      </c>
      <c r="O7" s="140"/>
      <c r="P7" s="141"/>
      <c r="Q7" s="138"/>
      <c r="R7" s="132"/>
      <c r="S7" s="16"/>
      <c r="T7" s="16"/>
      <c r="U7" s="16"/>
      <c r="V7" s="16"/>
      <c r="W7" s="16"/>
      <c r="X7" s="16"/>
      <c r="Y7" s="16"/>
      <c r="Z7" s="16"/>
      <c r="AA7" s="16"/>
    </row>
    <row r="8" spans="1:27" ht="30" customHeight="1" x14ac:dyDescent="0.2">
      <c r="A8" s="130" t="s">
        <v>11</v>
      </c>
      <c r="B8" s="131"/>
      <c r="C8" s="132"/>
      <c r="D8" s="153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2"/>
      <c r="S8" s="16"/>
      <c r="T8" s="16"/>
      <c r="U8" s="16"/>
      <c r="V8" s="16"/>
      <c r="W8" s="16"/>
      <c r="X8" s="16"/>
      <c r="Y8" s="16"/>
      <c r="Z8" s="16"/>
      <c r="AA8" s="16"/>
    </row>
    <row r="9" spans="1:27" ht="30" customHeight="1" x14ac:dyDescent="0.2">
      <c r="A9" s="130" t="s">
        <v>12</v>
      </c>
      <c r="B9" s="131"/>
      <c r="C9" s="131"/>
      <c r="D9" s="131"/>
      <c r="E9" s="131"/>
      <c r="F9" s="131"/>
      <c r="G9" s="131"/>
      <c r="H9" s="131"/>
      <c r="I9" s="132"/>
      <c r="J9" s="130" t="s">
        <v>13</v>
      </c>
      <c r="K9" s="131"/>
      <c r="L9" s="131"/>
      <c r="M9" s="131"/>
      <c r="N9" s="131"/>
      <c r="O9" s="131"/>
      <c r="P9" s="131"/>
      <c r="Q9" s="131"/>
      <c r="R9" s="132"/>
      <c r="S9" s="16"/>
      <c r="T9" s="16"/>
      <c r="U9" s="16"/>
      <c r="V9" s="16"/>
      <c r="W9" s="16"/>
      <c r="X9" s="16"/>
      <c r="Y9" s="16"/>
      <c r="Z9" s="16"/>
      <c r="AA9" s="16"/>
    </row>
    <row r="10" spans="1:27" ht="30" customHeight="1" x14ac:dyDescent="0.2">
      <c r="A10" s="133"/>
      <c r="B10" s="131"/>
      <c r="C10" s="131"/>
      <c r="D10" s="131"/>
      <c r="E10" s="131"/>
      <c r="F10" s="131"/>
      <c r="G10" s="131"/>
      <c r="H10" s="131"/>
      <c r="I10" s="132"/>
      <c r="J10" s="134"/>
      <c r="K10" s="131"/>
      <c r="L10" s="131"/>
      <c r="M10" s="131"/>
      <c r="N10" s="131"/>
      <c r="O10" s="131"/>
      <c r="P10" s="131"/>
      <c r="Q10" s="131"/>
      <c r="R10" s="132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4.5" customHeight="1" x14ac:dyDescent="0.2">
      <c r="A11" s="4" t="s">
        <v>14</v>
      </c>
      <c r="B11" s="130" t="s">
        <v>15</v>
      </c>
      <c r="C11" s="131"/>
      <c r="D11" s="132"/>
      <c r="E11" s="5" t="s">
        <v>16</v>
      </c>
      <c r="F11" s="5" t="s">
        <v>17</v>
      </c>
      <c r="G11" s="5" t="s">
        <v>18</v>
      </c>
      <c r="H11" s="4" t="s">
        <v>19</v>
      </c>
      <c r="I11" s="4" t="s">
        <v>20</v>
      </c>
      <c r="J11" s="4" t="s">
        <v>21</v>
      </c>
      <c r="K11" s="6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Q11" s="4" t="s">
        <v>28</v>
      </c>
      <c r="R11" s="4" t="s">
        <v>29</v>
      </c>
      <c r="S11" s="2"/>
      <c r="T11" s="2"/>
      <c r="U11" s="2"/>
      <c r="V11" s="2"/>
      <c r="W11" s="2"/>
      <c r="X11" s="2"/>
      <c r="Y11" s="2"/>
      <c r="Z11" s="2"/>
      <c r="AA11" s="2"/>
    </row>
    <row r="12" spans="1:27" ht="30" customHeight="1" x14ac:dyDescent="0.2">
      <c r="A12" s="18">
        <v>1</v>
      </c>
      <c r="B12" s="189" t="s">
        <v>330</v>
      </c>
      <c r="C12" s="123"/>
      <c r="D12" s="124"/>
      <c r="E12" s="8" t="s">
        <v>458</v>
      </c>
      <c r="F12" s="8" t="s">
        <v>331</v>
      </c>
      <c r="G12" s="9" t="s">
        <v>33</v>
      </c>
      <c r="H12" s="10" t="s">
        <v>34</v>
      </c>
      <c r="I12" s="8" t="str">
        <f>_xlfn.CONCAT(B12," ",E12,"-",F12,"-",G12," Ver. ",H12," de fecha 7/07/2025")</f>
        <v>PROCEDIMIENTO DE CONTROL DE DOCUMENTOS Y REGISTROS GSI-PR-001 Ver. 00 de fecha 7/07/2025</v>
      </c>
      <c r="J12" s="49"/>
      <c r="K12" s="11" t="s">
        <v>31</v>
      </c>
      <c r="L12" s="8" t="s">
        <v>36</v>
      </c>
      <c r="M12" s="11" t="s">
        <v>332</v>
      </c>
      <c r="N12" s="11" t="s">
        <v>38</v>
      </c>
      <c r="O12" s="11" t="s">
        <v>91</v>
      </c>
      <c r="P12" s="8" t="s">
        <v>40</v>
      </c>
      <c r="Q12" s="8" t="s">
        <v>41</v>
      </c>
      <c r="R12" s="52" t="s">
        <v>394</v>
      </c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0" customHeight="1" x14ac:dyDescent="0.2">
      <c r="A13" s="18">
        <v>2</v>
      </c>
      <c r="B13" s="189" t="s">
        <v>333</v>
      </c>
      <c r="C13" s="123"/>
      <c r="D13" s="124"/>
      <c r="E13" s="8" t="s">
        <v>458</v>
      </c>
      <c r="F13" s="8" t="s">
        <v>331</v>
      </c>
      <c r="G13" s="9" t="s">
        <v>43</v>
      </c>
      <c r="H13" s="10" t="s">
        <v>34</v>
      </c>
      <c r="I13" s="8" t="str">
        <f t="shared" ref="I13:I27" si="0">_xlfn.CONCAT(B13," ",E13,"-",F13,"-",G13," Ver. ",H13," de fecha 7/07/2025")</f>
        <v>PROCEDIMIENTO DE AUDITORÍAS  GSI-PR-002 Ver. 00 de fecha 7/07/2025</v>
      </c>
      <c r="J13" s="49"/>
      <c r="K13" s="11" t="s">
        <v>31</v>
      </c>
      <c r="L13" s="8" t="s">
        <v>36</v>
      </c>
      <c r="M13" s="11" t="s">
        <v>332</v>
      </c>
      <c r="N13" s="11" t="s">
        <v>38</v>
      </c>
      <c r="O13" s="11" t="s">
        <v>91</v>
      </c>
      <c r="P13" s="8" t="s">
        <v>40</v>
      </c>
      <c r="Q13" s="8" t="s">
        <v>41</v>
      </c>
      <c r="R13" s="52" t="s">
        <v>394</v>
      </c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30" customHeight="1" x14ac:dyDescent="0.2">
      <c r="A14" s="18">
        <v>3</v>
      </c>
      <c r="B14" s="189" t="s">
        <v>334</v>
      </c>
      <c r="C14" s="123"/>
      <c r="D14" s="124"/>
      <c r="E14" s="8" t="s">
        <v>458</v>
      </c>
      <c r="F14" s="8" t="s">
        <v>331</v>
      </c>
      <c r="G14" s="9" t="s">
        <v>45</v>
      </c>
      <c r="H14" s="10" t="s">
        <v>34</v>
      </c>
      <c r="I14" s="8" t="str">
        <f t="shared" si="0"/>
        <v>PROCEDIMIENTO DE ACCIONES CORRECTIVAS GSI-PR-003 Ver. 00 de fecha 7/07/2025</v>
      </c>
      <c r="J14" s="49"/>
      <c r="K14" s="11" t="s">
        <v>31</v>
      </c>
      <c r="L14" s="8" t="s">
        <v>36</v>
      </c>
      <c r="M14" s="11" t="s">
        <v>332</v>
      </c>
      <c r="N14" s="11" t="s">
        <v>38</v>
      </c>
      <c r="O14" s="11" t="s">
        <v>91</v>
      </c>
      <c r="P14" s="8" t="s">
        <v>40</v>
      </c>
      <c r="Q14" s="8" t="s">
        <v>41</v>
      </c>
      <c r="R14" s="52" t="s">
        <v>394</v>
      </c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30" customHeight="1" x14ac:dyDescent="0.2">
      <c r="A15" s="18">
        <v>4</v>
      </c>
      <c r="B15" s="189" t="s">
        <v>335</v>
      </c>
      <c r="C15" s="123"/>
      <c r="D15" s="124"/>
      <c r="E15" s="8" t="s">
        <v>458</v>
      </c>
      <c r="F15" s="8" t="s">
        <v>331</v>
      </c>
      <c r="G15" s="9" t="s">
        <v>47</v>
      </c>
      <c r="H15" s="10" t="s">
        <v>34</v>
      </c>
      <c r="I15" s="8" t="str">
        <f t="shared" si="0"/>
        <v>PROCEDIMIENTO DE REVISIÓN POR LA DIRECCIÓN GSI-PR-004 Ver. 00 de fecha 7/07/2025</v>
      </c>
      <c r="J15" s="49"/>
      <c r="K15" s="11" t="s">
        <v>31</v>
      </c>
      <c r="L15" s="8" t="s">
        <v>36</v>
      </c>
      <c r="M15" s="11" t="s">
        <v>332</v>
      </c>
      <c r="N15" s="11" t="s">
        <v>38</v>
      </c>
      <c r="O15" s="11" t="s">
        <v>91</v>
      </c>
      <c r="P15" s="8" t="s">
        <v>40</v>
      </c>
      <c r="Q15" s="8" t="s">
        <v>41</v>
      </c>
      <c r="R15" s="52" t="s">
        <v>394</v>
      </c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0" customHeight="1" x14ac:dyDescent="0.2">
      <c r="A16" s="18">
        <v>5</v>
      </c>
      <c r="B16" s="189" t="s">
        <v>395</v>
      </c>
      <c r="C16" s="123"/>
      <c r="D16" s="124"/>
      <c r="E16" s="8" t="s">
        <v>458</v>
      </c>
      <c r="F16" s="8" t="s">
        <v>331</v>
      </c>
      <c r="G16" s="9" t="s">
        <v>49</v>
      </c>
      <c r="H16" s="10" t="s">
        <v>34</v>
      </c>
      <c r="I16" s="8" t="str">
        <f t="shared" si="0"/>
        <v>PROCEDIMIENTO DE RESPALDO DE LA INFORMACIÓN GSI-PR-005 Ver. 00 de fecha 7/07/2025</v>
      </c>
      <c r="J16" s="49"/>
      <c r="K16" s="11" t="s">
        <v>31</v>
      </c>
      <c r="L16" s="8" t="s">
        <v>36</v>
      </c>
      <c r="M16" s="11" t="s">
        <v>332</v>
      </c>
      <c r="N16" s="11" t="s">
        <v>38</v>
      </c>
      <c r="O16" s="11" t="s">
        <v>91</v>
      </c>
      <c r="P16" s="8" t="s">
        <v>40</v>
      </c>
      <c r="Q16" s="8" t="s">
        <v>41</v>
      </c>
      <c r="R16" s="52" t="s">
        <v>394</v>
      </c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30" customHeight="1" x14ac:dyDescent="0.2">
      <c r="A17" s="18">
        <v>6</v>
      </c>
      <c r="B17" s="189" t="s">
        <v>336</v>
      </c>
      <c r="C17" s="123"/>
      <c r="D17" s="124"/>
      <c r="E17" s="8" t="s">
        <v>458</v>
      </c>
      <c r="F17" s="8" t="s">
        <v>331</v>
      </c>
      <c r="G17" s="9" t="s">
        <v>51</v>
      </c>
      <c r="H17" s="10" t="s">
        <v>34</v>
      </c>
      <c r="I17" s="8" t="str">
        <f t="shared" si="0"/>
        <v>PROCEDIMIENTO DE GESTIÓN DEL CAMBIO GSI-PR-006 Ver. 00 de fecha 7/07/2025</v>
      </c>
      <c r="J17" s="49"/>
      <c r="K17" s="11" t="s">
        <v>31</v>
      </c>
      <c r="L17" s="8" t="s">
        <v>36</v>
      </c>
      <c r="M17" s="11" t="s">
        <v>332</v>
      </c>
      <c r="N17" s="11" t="s">
        <v>38</v>
      </c>
      <c r="O17" s="11" t="s">
        <v>91</v>
      </c>
      <c r="P17" s="8" t="s">
        <v>40</v>
      </c>
      <c r="Q17" s="8" t="s">
        <v>41</v>
      </c>
      <c r="R17" s="52" t="s">
        <v>394</v>
      </c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83.25" customHeight="1" x14ac:dyDescent="0.2">
      <c r="A18" s="18">
        <v>7</v>
      </c>
      <c r="B18" s="189" t="s">
        <v>337</v>
      </c>
      <c r="C18" s="123"/>
      <c r="D18" s="124"/>
      <c r="E18" s="8" t="s">
        <v>458</v>
      </c>
      <c r="F18" s="18" t="s">
        <v>331</v>
      </c>
      <c r="G18" s="19" t="s">
        <v>53</v>
      </c>
      <c r="H18" s="10" t="s">
        <v>34</v>
      </c>
      <c r="I18" s="8" t="str">
        <f t="shared" si="0"/>
        <v>PROCEDIMIENTO DE INVESTIGACIÓN DE INCIDENTES, ACCIDENTES, ENFERMEDADES OCUPACIONALES Y EMERGENCIAS AMBIENTALES GSI-PR-007 Ver. 00 de fecha 7/07/2025</v>
      </c>
      <c r="J18" s="49"/>
      <c r="K18" s="11" t="s">
        <v>58</v>
      </c>
      <c r="L18" s="8" t="s">
        <v>59</v>
      </c>
      <c r="M18" s="11" t="s">
        <v>65</v>
      </c>
      <c r="N18" s="11" t="s">
        <v>38</v>
      </c>
      <c r="O18" s="11" t="s">
        <v>91</v>
      </c>
      <c r="P18" s="8" t="s">
        <v>40</v>
      </c>
      <c r="Q18" s="8" t="s">
        <v>41</v>
      </c>
      <c r="R18" s="52" t="s">
        <v>394</v>
      </c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30" customHeight="1" x14ac:dyDescent="0.2">
      <c r="A19" s="18">
        <v>8</v>
      </c>
      <c r="B19" s="189" t="s">
        <v>338</v>
      </c>
      <c r="C19" s="123"/>
      <c r="D19" s="124"/>
      <c r="E19" s="8" t="s">
        <v>458</v>
      </c>
      <c r="F19" s="8" t="s">
        <v>331</v>
      </c>
      <c r="G19" s="9" t="s">
        <v>55</v>
      </c>
      <c r="H19" s="10" t="s">
        <v>34</v>
      </c>
      <c r="I19" s="8" t="str">
        <f t="shared" si="0"/>
        <v>PROCEDIMIENTO DE EJECUCIÓN DE COMPRAS Y MANEJO DE ALMACÉN GSI-PR-008 Ver. 00 de fecha 7/07/2025</v>
      </c>
      <c r="J19" s="49"/>
      <c r="K19" s="11" t="s">
        <v>31</v>
      </c>
      <c r="L19" s="8" t="s">
        <v>36</v>
      </c>
      <c r="M19" s="11" t="s">
        <v>339</v>
      </c>
      <c r="N19" s="11" t="s">
        <v>38</v>
      </c>
      <c r="O19" s="11" t="s">
        <v>91</v>
      </c>
      <c r="P19" s="8" t="s">
        <v>40</v>
      </c>
      <c r="Q19" s="8" t="s">
        <v>41</v>
      </c>
      <c r="R19" s="52" t="s">
        <v>394</v>
      </c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30" customHeight="1" x14ac:dyDescent="0.2">
      <c r="A20" s="18">
        <v>9</v>
      </c>
      <c r="B20" s="189" t="s">
        <v>340</v>
      </c>
      <c r="C20" s="123"/>
      <c r="D20" s="124"/>
      <c r="E20" s="8" t="s">
        <v>458</v>
      </c>
      <c r="F20" s="8" t="s">
        <v>331</v>
      </c>
      <c r="G20" s="9" t="s">
        <v>57</v>
      </c>
      <c r="H20" s="10" t="s">
        <v>34</v>
      </c>
      <c r="I20" s="8" t="str">
        <f t="shared" si="0"/>
        <v>PROCEDIMIENTO DE RECURSOS HUMANOS GSI-PR-009 Ver. 00 de fecha 7/07/2025</v>
      </c>
      <c r="J20" s="49"/>
      <c r="K20" s="11" t="s">
        <v>31</v>
      </c>
      <c r="L20" s="8" t="s">
        <v>36</v>
      </c>
      <c r="M20" s="11" t="s">
        <v>341</v>
      </c>
      <c r="N20" s="11" t="s">
        <v>38</v>
      </c>
      <c r="O20" s="11" t="s">
        <v>91</v>
      </c>
      <c r="P20" s="8" t="s">
        <v>40</v>
      </c>
      <c r="Q20" s="8" t="s">
        <v>41</v>
      </c>
      <c r="R20" s="52" t="s">
        <v>394</v>
      </c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30" customHeight="1" x14ac:dyDescent="0.2">
      <c r="A21" s="18">
        <v>10</v>
      </c>
      <c r="B21" s="189" t="s">
        <v>342</v>
      </c>
      <c r="C21" s="123"/>
      <c r="D21" s="124"/>
      <c r="E21" s="8" t="s">
        <v>458</v>
      </c>
      <c r="F21" s="8" t="s">
        <v>331</v>
      </c>
      <c r="G21" s="9" t="s">
        <v>61</v>
      </c>
      <c r="H21" s="10" t="s">
        <v>34</v>
      </c>
      <c r="I21" s="8" t="str">
        <f t="shared" si="0"/>
        <v>PROCEDIMIENTO DE ADMINISTRACION Y FINANZAS GSI-PR-010 Ver. 00 de fecha 7/07/2025</v>
      </c>
      <c r="J21" s="49"/>
      <c r="K21" s="11" t="s">
        <v>31</v>
      </c>
      <c r="L21" s="8" t="s">
        <v>36</v>
      </c>
      <c r="M21" s="11" t="s">
        <v>130</v>
      </c>
      <c r="N21" s="11" t="s">
        <v>38</v>
      </c>
      <c r="O21" s="11" t="s">
        <v>91</v>
      </c>
      <c r="P21" s="8" t="s">
        <v>40</v>
      </c>
      <c r="Q21" s="8" t="s">
        <v>343</v>
      </c>
      <c r="R21" s="52" t="s">
        <v>394</v>
      </c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30" customHeight="1" x14ac:dyDescent="0.2">
      <c r="A22" s="18">
        <v>10</v>
      </c>
      <c r="B22" s="189" t="s">
        <v>457</v>
      </c>
      <c r="C22" s="123"/>
      <c r="D22" s="124"/>
      <c r="E22" s="8" t="s">
        <v>458</v>
      </c>
      <c r="F22" s="8" t="s">
        <v>331</v>
      </c>
      <c r="G22" s="9" t="s">
        <v>63</v>
      </c>
      <c r="H22" s="10" t="s">
        <v>34</v>
      </c>
      <c r="I22" s="8" t="str">
        <f t="shared" si="0"/>
        <v>PROCEDIMIENTO DE SATISFACCION DEL CLIENTE GSI-PR-011 Ver. 00 de fecha 7/07/2025</v>
      </c>
      <c r="J22" s="49"/>
      <c r="K22" s="11" t="s">
        <v>31</v>
      </c>
      <c r="L22" s="8" t="s">
        <v>36</v>
      </c>
      <c r="M22" s="11" t="s">
        <v>130</v>
      </c>
      <c r="N22" s="11" t="s">
        <v>38</v>
      </c>
      <c r="O22" s="11" t="s">
        <v>91</v>
      </c>
      <c r="P22" s="8" t="s">
        <v>40</v>
      </c>
      <c r="Q22" s="8" t="s">
        <v>343</v>
      </c>
      <c r="R22" s="52" t="s">
        <v>394</v>
      </c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03.5" customHeight="1" x14ac:dyDescent="0.2">
      <c r="A23" s="18">
        <v>10</v>
      </c>
      <c r="B23" s="189" t="s">
        <v>344</v>
      </c>
      <c r="C23" s="123"/>
      <c r="D23" s="124"/>
      <c r="E23" s="8" t="s">
        <v>458</v>
      </c>
      <c r="F23" s="8" t="s">
        <v>331</v>
      </c>
      <c r="G23" s="9" t="s">
        <v>33</v>
      </c>
      <c r="H23" s="10" t="s">
        <v>34</v>
      </c>
      <c r="I23" s="8" t="str">
        <f t="shared" si="0"/>
        <v>PROCEDIMIENTO DE IDENTIFICACIÓN DE PELIGROS, EVALUACIÓN DE RIESGOS Y DETERMINACIÓN DE CONTROLES GSI-PR-001 Ver. 00 de fecha 7/07/2025</v>
      </c>
      <c r="J23" s="49"/>
      <c r="K23" s="11" t="s">
        <v>58</v>
      </c>
      <c r="L23" s="8" t="s">
        <v>59</v>
      </c>
      <c r="M23" s="11" t="s">
        <v>65</v>
      </c>
      <c r="N23" s="11" t="s">
        <v>38</v>
      </c>
      <c r="O23" s="11" t="s">
        <v>91</v>
      </c>
      <c r="P23" s="8" t="s">
        <v>40</v>
      </c>
      <c r="Q23" s="8" t="s">
        <v>41</v>
      </c>
      <c r="R23" s="52" t="s">
        <v>394</v>
      </c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92.25" customHeight="1" x14ac:dyDescent="0.2">
      <c r="A24" s="18">
        <v>11</v>
      </c>
      <c r="B24" s="122" t="s">
        <v>345</v>
      </c>
      <c r="C24" s="123"/>
      <c r="D24" s="124"/>
      <c r="E24" s="8" t="s">
        <v>458</v>
      </c>
      <c r="F24" s="8" t="s">
        <v>331</v>
      </c>
      <c r="G24" s="9" t="s">
        <v>43</v>
      </c>
      <c r="H24" s="10" t="s">
        <v>34</v>
      </c>
      <c r="I24" s="8" t="str">
        <f t="shared" si="0"/>
        <v>PROCEDIMIENTO DE INSPECCIONES GSI-PR-002 Ver. 00 de fecha 7/07/2025</v>
      </c>
      <c r="J24" s="49"/>
      <c r="K24" s="11" t="s">
        <v>58</v>
      </c>
      <c r="L24" s="8" t="s">
        <v>59</v>
      </c>
      <c r="M24" s="11" t="s">
        <v>65</v>
      </c>
      <c r="N24" s="11" t="s">
        <v>38</v>
      </c>
      <c r="O24" s="11" t="s">
        <v>91</v>
      </c>
      <c r="P24" s="8" t="s">
        <v>40</v>
      </c>
      <c r="Q24" s="8" t="s">
        <v>41</v>
      </c>
      <c r="R24" s="52" t="s">
        <v>394</v>
      </c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03.5" customHeight="1" x14ac:dyDescent="0.2">
      <c r="A25" s="18">
        <v>12</v>
      </c>
      <c r="B25" s="122" t="s">
        <v>346</v>
      </c>
      <c r="C25" s="123"/>
      <c r="D25" s="124"/>
      <c r="E25" s="8" t="s">
        <v>458</v>
      </c>
      <c r="F25" s="8" t="s">
        <v>331</v>
      </c>
      <c r="G25" s="9" t="s">
        <v>45</v>
      </c>
      <c r="H25" s="10" t="s">
        <v>34</v>
      </c>
      <c r="I25" s="8" t="str">
        <f t="shared" si="0"/>
        <v>PROCEDIMIENTO DE TRABAJADORA GESTANTE O EN PERÍODO DE LACTANCIA NATURAL GSI-PR-003 Ver. 00 de fecha 7/07/2025</v>
      </c>
      <c r="J25" s="49"/>
      <c r="K25" s="11" t="s">
        <v>58</v>
      </c>
      <c r="L25" s="8" t="s">
        <v>59</v>
      </c>
      <c r="M25" s="11" t="s">
        <v>65</v>
      </c>
      <c r="N25" s="11" t="s">
        <v>38</v>
      </c>
      <c r="O25" s="11" t="s">
        <v>91</v>
      </c>
      <c r="P25" s="8" t="s">
        <v>40</v>
      </c>
      <c r="Q25" s="8" t="s">
        <v>41</v>
      </c>
      <c r="R25" s="52" t="s">
        <v>394</v>
      </c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58.5" customHeight="1" x14ac:dyDescent="0.2">
      <c r="A26" s="18">
        <v>13</v>
      </c>
      <c r="B26" s="122" t="s">
        <v>347</v>
      </c>
      <c r="C26" s="123"/>
      <c r="D26" s="124"/>
      <c r="E26" s="8" t="s">
        <v>458</v>
      </c>
      <c r="F26" s="8" t="s">
        <v>331</v>
      </c>
      <c r="G26" s="9" t="s">
        <v>43</v>
      </c>
      <c r="H26" s="10" t="s">
        <v>34</v>
      </c>
      <c r="I26" s="8" t="str">
        <f t="shared" si="0"/>
        <v>PROCEDIMIENTO DE GESTIÓN DE LICITACIONES GSI-PR-002 Ver. 00 de fecha 7/07/2025</v>
      </c>
      <c r="J26" s="49"/>
      <c r="K26" s="11" t="s">
        <v>348</v>
      </c>
      <c r="L26" s="11" t="s">
        <v>288</v>
      </c>
      <c r="M26" s="8" t="s">
        <v>349</v>
      </c>
      <c r="N26" s="11" t="s">
        <v>38</v>
      </c>
      <c r="O26" s="11" t="s">
        <v>91</v>
      </c>
      <c r="P26" s="8" t="s">
        <v>40</v>
      </c>
      <c r="Q26" s="8" t="s">
        <v>41</v>
      </c>
      <c r="R26" s="52" t="s">
        <v>394</v>
      </c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81" customHeight="1" x14ac:dyDescent="0.2">
      <c r="A27" s="18">
        <v>14</v>
      </c>
      <c r="B27" s="122" t="s">
        <v>350</v>
      </c>
      <c r="C27" s="123"/>
      <c r="D27" s="124"/>
      <c r="E27" s="8" t="s">
        <v>458</v>
      </c>
      <c r="F27" s="8" t="s">
        <v>331</v>
      </c>
      <c r="G27" s="9" t="s">
        <v>33</v>
      </c>
      <c r="H27" s="10" t="s">
        <v>34</v>
      </c>
      <c r="I27" s="8" t="str">
        <f t="shared" si="0"/>
        <v>PROCEDIMIENTO DE IDENTIFICACIÓN DE ASPECTOS Y EVALUACIÓN DE IMPACTOS AMBIENTALES GSI-PR-001 Ver. 00 de fecha 7/07/2025</v>
      </c>
      <c r="J27" s="49"/>
      <c r="K27" s="11" t="s">
        <v>31</v>
      </c>
      <c r="L27" s="8" t="s">
        <v>36</v>
      </c>
      <c r="M27" s="11" t="s">
        <v>75</v>
      </c>
      <c r="N27" s="11" t="s">
        <v>38</v>
      </c>
      <c r="O27" s="11" t="s">
        <v>91</v>
      </c>
      <c r="P27" s="8" t="s">
        <v>40</v>
      </c>
      <c r="Q27" s="8" t="s">
        <v>41</v>
      </c>
      <c r="R27" s="52" t="s">
        <v>394</v>
      </c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8.75" customHeight="1" thickBot="1" x14ac:dyDescent="0.25">
      <c r="A28" s="22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26.25" customHeight="1" thickBot="1" x14ac:dyDescent="0.25">
      <c r="A29" s="22"/>
      <c r="B29" s="16"/>
      <c r="C29" s="16"/>
      <c r="D29" s="16"/>
      <c r="E29" s="16"/>
      <c r="F29" s="16"/>
      <c r="G29" s="157" t="s">
        <v>83</v>
      </c>
      <c r="H29" s="155"/>
      <c r="I29" s="155"/>
      <c r="J29" s="155"/>
      <c r="K29" s="155"/>
      <c r="L29" s="155"/>
      <c r="M29" s="155"/>
      <c r="N29" s="155"/>
      <c r="O29" s="155"/>
      <c r="P29" s="15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8.75" customHeight="1" thickBot="1" x14ac:dyDescent="0.25">
      <c r="A30" s="22"/>
      <c r="B30" s="16"/>
      <c r="C30" s="16"/>
      <c r="D30" s="16"/>
      <c r="E30" s="16"/>
      <c r="F30" s="16"/>
      <c r="G30" s="158" t="s">
        <v>84</v>
      </c>
      <c r="H30" s="155"/>
      <c r="I30" s="159"/>
      <c r="J30" s="160"/>
      <c r="K30" s="155"/>
      <c r="L30" s="155"/>
      <c r="M30" s="155"/>
      <c r="N30" s="155"/>
      <c r="O30" s="155"/>
      <c r="P30" s="15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29.25" customHeight="1" thickBot="1" x14ac:dyDescent="0.25">
      <c r="A31" s="22"/>
      <c r="B31" s="16"/>
      <c r="C31" s="16"/>
      <c r="D31" s="16"/>
      <c r="E31" s="16"/>
      <c r="F31" s="16"/>
      <c r="G31" s="158" t="s">
        <v>85</v>
      </c>
      <c r="H31" s="155"/>
      <c r="I31" s="159"/>
      <c r="J31" s="154"/>
      <c r="K31" s="155"/>
      <c r="L31" s="155"/>
      <c r="M31" s="155"/>
      <c r="N31" s="155"/>
      <c r="O31" s="155"/>
      <c r="P31" s="15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27" customHeight="1" thickBot="1" x14ac:dyDescent="0.25">
      <c r="A32" s="22"/>
      <c r="B32" s="16"/>
      <c r="C32" s="16"/>
      <c r="D32" s="16"/>
      <c r="E32" s="16"/>
      <c r="F32" s="16"/>
      <c r="G32" s="158" t="s">
        <v>86</v>
      </c>
      <c r="H32" s="155"/>
      <c r="I32" s="159"/>
      <c r="J32" s="163"/>
      <c r="K32" s="162"/>
      <c r="L32" s="162"/>
      <c r="M32" s="162"/>
      <c r="N32" s="162"/>
      <c r="O32" s="162"/>
      <c r="P32" s="164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91" customHeight="1" thickBot="1" x14ac:dyDescent="0.25">
      <c r="A33" s="22"/>
      <c r="B33" s="16"/>
      <c r="C33" s="16"/>
      <c r="D33" s="16"/>
      <c r="E33" s="16"/>
      <c r="F33" s="16"/>
      <c r="G33" s="158" t="s">
        <v>87</v>
      </c>
      <c r="H33" s="155"/>
      <c r="I33" s="159"/>
      <c r="J33" s="154"/>
      <c r="K33" s="155"/>
      <c r="L33" s="155"/>
      <c r="M33" s="155"/>
      <c r="N33" s="155"/>
      <c r="O33" s="155"/>
      <c r="P33" s="15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8.75" customHeight="1" x14ac:dyDescent="0.2">
      <c r="A34" s="22"/>
      <c r="B34" s="16"/>
      <c r="C34" s="23"/>
      <c r="D34" s="24"/>
      <c r="E34" s="16"/>
      <c r="F34" s="16"/>
      <c r="G34" s="16"/>
      <c r="H34" s="16"/>
      <c r="I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8.75" customHeight="1" x14ac:dyDescent="0.2">
      <c r="A35" s="22"/>
      <c r="B35" s="16"/>
      <c r="C35" s="23"/>
      <c r="D35" s="24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8.75" customHeight="1" x14ac:dyDescent="0.2">
      <c r="A36" s="22"/>
      <c r="B36" s="16"/>
      <c r="C36" s="23"/>
      <c r="D36" s="24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8.75" customHeight="1" x14ac:dyDescent="0.2">
      <c r="A37" s="22"/>
      <c r="B37" s="16"/>
      <c r="C37" s="23"/>
      <c r="D37" s="2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8.75" customHeight="1" x14ac:dyDescent="0.2">
      <c r="A38" s="22"/>
      <c r="B38" s="16"/>
      <c r="C38" s="23"/>
      <c r="D38" s="24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8.75" customHeight="1" x14ac:dyDescent="0.2">
      <c r="A39" s="22"/>
      <c r="B39" s="16"/>
      <c r="C39" s="23"/>
      <c r="D39" s="24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8.75" customHeight="1" x14ac:dyDescent="0.2">
      <c r="A40" s="22"/>
      <c r="B40" s="16"/>
      <c r="C40" s="23"/>
      <c r="D40" s="24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8.75" customHeight="1" x14ac:dyDescent="0.2">
      <c r="A41" s="22"/>
      <c r="B41" s="16"/>
      <c r="C41" s="23"/>
      <c r="D41" s="24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8.75" customHeight="1" x14ac:dyDescent="0.2">
      <c r="A42" s="22"/>
      <c r="B42" s="16"/>
      <c r="C42" s="23"/>
      <c r="D42" s="24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8.75" customHeight="1" x14ac:dyDescent="0.2">
      <c r="A43" s="22"/>
      <c r="B43" s="16"/>
      <c r="C43" s="23"/>
      <c r="D43" s="24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8.75" customHeight="1" x14ac:dyDescent="0.2">
      <c r="A44" s="22"/>
      <c r="B44" s="16"/>
      <c r="C44" s="23"/>
      <c r="D44" s="24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8.75" customHeight="1" x14ac:dyDescent="0.2">
      <c r="A45" s="22"/>
      <c r="B45" s="16"/>
      <c r="C45" s="23"/>
      <c r="D45" s="24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8.75" customHeight="1" x14ac:dyDescent="0.2">
      <c r="A46" s="22"/>
      <c r="B46" s="16"/>
      <c r="C46" s="23"/>
      <c r="D46" s="2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8.75" customHeight="1" x14ac:dyDescent="0.2">
      <c r="A47" s="22"/>
      <c r="B47" s="16"/>
      <c r="C47" s="23"/>
      <c r="D47" s="2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8.75" customHeight="1" x14ac:dyDescent="0.2">
      <c r="A48" s="22"/>
      <c r="B48" s="16"/>
      <c r="C48" s="23"/>
      <c r="D48" s="24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8.75" customHeight="1" x14ac:dyDescent="0.2">
      <c r="A49" s="22"/>
      <c r="B49" s="16"/>
      <c r="C49" s="23"/>
      <c r="D49" s="24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8.75" customHeight="1" x14ac:dyDescent="0.2">
      <c r="A50" s="22"/>
      <c r="B50" s="16"/>
      <c r="C50" s="23"/>
      <c r="D50" s="24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8.75" customHeight="1" x14ac:dyDescent="0.2">
      <c r="A51" s="22"/>
      <c r="B51" s="16"/>
      <c r="C51" s="23"/>
      <c r="D51" s="24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8.75" customHeight="1" x14ac:dyDescent="0.2">
      <c r="A52" s="22"/>
      <c r="B52" s="16"/>
      <c r="C52" s="23"/>
      <c r="D52" s="24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8.75" customHeight="1" x14ac:dyDescent="0.2">
      <c r="A53" s="22"/>
      <c r="B53" s="16"/>
      <c r="C53" s="23"/>
      <c r="D53" s="24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8.75" customHeight="1" x14ac:dyDescent="0.2">
      <c r="A54" s="22"/>
      <c r="B54" s="16"/>
      <c r="C54" s="23"/>
      <c r="D54" s="24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8.75" customHeight="1" x14ac:dyDescent="0.2">
      <c r="A55" s="22"/>
      <c r="B55" s="16"/>
      <c r="C55" s="23"/>
      <c r="D55" s="24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8.75" customHeight="1" x14ac:dyDescent="0.2">
      <c r="A56" s="22"/>
      <c r="B56" s="16"/>
      <c r="C56" s="23"/>
      <c r="D56" s="24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8.75" customHeight="1" x14ac:dyDescent="0.2">
      <c r="A57" s="22"/>
      <c r="B57" s="16"/>
      <c r="C57" s="23"/>
      <c r="D57" s="24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8.75" customHeight="1" x14ac:dyDescent="0.2">
      <c r="A58" s="22"/>
      <c r="B58" s="16"/>
      <c r="C58" s="23"/>
      <c r="D58" s="2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8.75" customHeight="1" x14ac:dyDescent="0.2">
      <c r="A59" s="22"/>
      <c r="B59" s="16"/>
      <c r="C59" s="23"/>
      <c r="D59" s="2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8.75" customHeight="1" x14ac:dyDescent="0.2">
      <c r="A60" s="22"/>
      <c r="B60" s="16"/>
      <c r="C60" s="23"/>
      <c r="D60" s="24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8.75" customHeight="1" x14ac:dyDescent="0.2">
      <c r="A61" s="22"/>
      <c r="B61" s="16"/>
      <c r="C61" s="23"/>
      <c r="D61" s="24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8.75" customHeight="1" x14ac:dyDescent="0.2">
      <c r="A62" s="22"/>
      <c r="B62" s="16"/>
      <c r="C62" s="23"/>
      <c r="D62" s="24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8.75" customHeight="1" x14ac:dyDescent="0.2">
      <c r="A63" s="22"/>
      <c r="B63" s="16"/>
      <c r="C63" s="23"/>
      <c r="D63" s="24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8.75" customHeight="1" x14ac:dyDescent="0.2">
      <c r="A64" s="22"/>
      <c r="B64" s="16"/>
      <c r="C64" s="23"/>
      <c r="D64" s="24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8.75" customHeight="1" x14ac:dyDescent="0.2">
      <c r="A65" s="22"/>
      <c r="B65" s="16"/>
      <c r="C65" s="23"/>
      <c r="D65" s="24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8.75" customHeight="1" x14ac:dyDescent="0.2">
      <c r="A66" s="22"/>
      <c r="B66" s="16"/>
      <c r="C66" s="23"/>
      <c r="D66" s="24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8.75" customHeight="1" x14ac:dyDescent="0.2">
      <c r="A67" s="22"/>
      <c r="B67" s="16"/>
      <c r="C67" s="23"/>
      <c r="D67" s="24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8.75" customHeight="1" x14ac:dyDescent="0.2">
      <c r="A68" s="22"/>
      <c r="B68" s="16"/>
      <c r="C68" s="23"/>
      <c r="D68" s="24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8.75" customHeight="1" x14ac:dyDescent="0.2">
      <c r="A69" s="22"/>
      <c r="B69" s="16"/>
      <c r="C69" s="23"/>
      <c r="D69" s="2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8.75" customHeight="1" x14ac:dyDescent="0.2">
      <c r="A70" s="22"/>
      <c r="B70" s="16"/>
      <c r="C70" s="23"/>
      <c r="D70" s="24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8.75" customHeight="1" x14ac:dyDescent="0.2">
      <c r="A71" s="22"/>
      <c r="B71" s="16"/>
      <c r="C71" s="23"/>
      <c r="D71" s="24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8.75" customHeight="1" x14ac:dyDescent="0.2">
      <c r="A72" s="22"/>
      <c r="B72" s="16"/>
      <c r="C72" s="23"/>
      <c r="D72" s="24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8.75" customHeight="1" x14ac:dyDescent="0.2">
      <c r="A73" s="22"/>
      <c r="B73" s="16"/>
      <c r="C73" s="23"/>
      <c r="D73" s="24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8.75" customHeight="1" x14ac:dyDescent="0.2">
      <c r="A74" s="22"/>
      <c r="B74" s="16"/>
      <c r="C74" s="23"/>
      <c r="D74" s="24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8.75" customHeight="1" x14ac:dyDescent="0.2">
      <c r="A75" s="22"/>
      <c r="B75" s="16"/>
      <c r="C75" s="23"/>
      <c r="D75" s="24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8.75" customHeight="1" x14ac:dyDescent="0.2">
      <c r="A76" s="22"/>
      <c r="B76" s="16"/>
      <c r="C76" s="23"/>
      <c r="D76" s="24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8.75" customHeight="1" x14ac:dyDescent="0.2">
      <c r="A77" s="22"/>
      <c r="B77" s="16"/>
      <c r="C77" s="23"/>
      <c r="D77" s="24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8.75" customHeight="1" x14ac:dyDescent="0.2">
      <c r="A78" s="22"/>
      <c r="B78" s="16"/>
      <c r="C78" s="23"/>
      <c r="D78" s="24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8.75" customHeight="1" x14ac:dyDescent="0.2">
      <c r="A79" s="22"/>
      <c r="B79" s="16"/>
      <c r="C79" s="23"/>
      <c r="D79" s="24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8.75" customHeight="1" x14ac:dyDescent="0.2">
      <c r="A80" s="22"/>
      <c r="B80" s="16"/>
      <c r="C80" s="23"/>
      <c r="D80" s="24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8.75" customHeight="1" x14ac:dyDescent="0.2">
      <c r="A81" s="22"/>
      <c r="B81" s="16"/>
      <c r="C81" s="23"/>
      <c r="D81" s="24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8.75" customHeight="1" x14ac:dyDescent="0.2">
      <c r="A82" s="22"/>
      <c r="B82" s="16"/>
      <c r="C82" s="23"/>
      <c r="D82" s="24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8.75" customHeight="1" x14ac:dyDescent="0.2">
      <c r="A83" s="22"/>
      <c r="B83" s="16"/>
      <c r="C83" s="23"/>
      <c r="D83" s="24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8.75" customHeight="1" x14ac:dyDescent="0.2">
      <c r="A84" s="22"/>
      <c r="B84" s="16"/>
      <c r="C84" s="23"/>
      <c r="D84" s="24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8.75" customHeight="1" x14ac:dyDescent="0.2">
      <c r="A85" s="22"/>
      <c r="B85" s="16"/>
      <c r="C85" s="23"/>
      <c r="D85" s="24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8.75" customHeight="1" x14ac:dyDescent="0.2">
      <c r="A86" s="22"/>
      <c r="B86" s="16"/>
      <c r="C86" s="23"/>
      <c r="D86" s="24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8.75" customHeight="1" x14ac:dyDescent="0.2">
      <c r="A87" s="22"/>
      <c r="B87" s="16"/>
      <c r="C87" s="23"/>
      <c r="D87" s="24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8.75" customHeight="1" x14ac:dyDescent="0.2">
      <c r="A88" s="22"/>
      <c r="B88" s="16"/>
      <c r="C88" s="23"/>
      <c r="D88" s="24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8.75" customHeight="1" x14ac:dyDescent="0.2">
      <c r="A89" s="22"/>
      <c r="B89" s="16"/>
      <c r="C89" s="23"/>
      <c r="D89" s="24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8.75" customHeight="1" x14ac:dyDescent="0.2">
      <c r="A90" s="22"/>
      <c r="B90" s="16"/>
      <c r="C90" s="23"/>
      <c r="D90" s="24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8.75" customHeight="1" x14ac:dyDescent="0.2">
      <c r="A91" s="22"/>
      <c r="B91" s="16"/>
      <c r="C91" s="23"/>
      <c r="D91" s="24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8.75" customHeight="1" x14ac:dyDescent="0.2">
      <c r="A92" s="22"/>
      <c r="B92" s="16"/>
      <c r="C92" s="23"/>
      <c r="D92" s="24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8.75" customHeight="1" x14ac:dyDescent="0.2">
      <c r="A93" s="22"/>
      <c r="B93" s="16"/>
      <c r="C93" s="23"/>
      <c r="D93" s="24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8.75" customHeight="1" x14ac:dyDescent="0.2">
      <c r="A94" s="22"/>
      <c r="B94" s="16"/>
      <c r="C94" s="23"/>
      <c r="D94" s="24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8.75" customHeight="1" x14ac:dyDescent="0.2">
      <c r="A95" s="22"/>
      <c r="B95" s="16"/>
      <c r="C95" s="23"/>
      <c r="D95" s="24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8.75" customHeight="1" x14ac:dyDescent="0.2">
      <c r="A96" s="22"/>
      <c r="B96" s="16"/>
      <c r="C96" s="23"/>
      <c r="D96" s="24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8.75" customHeight="1" x14ac:dyDescent="0.2">
      <c r="A97" s="22"/>
      <c r="B97" s="16"/>
      <c r="C97" s="23"/>
      <c r="D97" s="24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8.75" customHeight="1" x14ac:dyDescent="0.2">
      <c r="A98" s="22"/>
      <c r="B98" s="16"/>
      <c r="C98" s="23"/>
      <c r="D98" s="24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8.75" customHeight="1" x14ac:dyDescent="0.2">
      <c r="A99" s="22"/>
      <c r="B99" s="16"/>
      <c r="C99" s="23"/>
      <c r="D99" s="24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8.75" customHeight="1" x14ac:dyDescent="0.2">
      <c r="A100" s="22"/>
      <c r="B100" s="16"/>
      <c r="C100" s="23"/>
      <c r="D100" s="24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8.75" customHeight="1" x14ac:dyDescent="0.2">
      <c r="A101" s="22"/>
      <c r="B101" s="16"/>
      <c r="C101" s="23"/>
      <c r="D101" s="24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8.75" customHeight="1" x14ac:dyDescent="0.2">
      <c r="A102" s="22"/>
      <c r="B102" s="16"/>
      <c r="C102" s="23"/>
      <c r="D102" s="24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8.75" customHeight="1" x14ac:dyDescent="0.2">
      <c r="A103" s="22"/>
      <c r="B103" s="16"/>
      <c r="C103" s="23"/>
      <c r="D103" s="24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8.75" customHeight="1" x14ac:dyDescent="0.2">
      <c r="A104" s="22"/>
      <c r="B104" s="16"/>
      <c r="C104" s="23"/>
      <c r="D104" s="24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8.75" customHeight="1" x14ac:dyDescent="0.2">
      <c r="A105" s="22"/>
      <c r="B105" s="16"/>
      <c r="C105" s="23"/>
      <c r="D105" s="24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8.75" customHeight="1" x14ac:dyDescent="0.2">
      <c r="A106" s="22"/>
      <c r="B106" s="16"/>
      <c r="C106" s="23"/>
      <c r="D106" s="24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8.75" customHeight="1" x14ac:dyDescent="0.2">
      <c r="A107" s="22"/>
      <c r="B107" s="16"/>
      <c r="C107" s="23"/>
      <c r="D107" s="24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8.75" customHeight="1" x14ac:dyDescent="0.2">
      <c r="A108" s="22"/>
      <c r="B108" s="16"/>
      <c r="C108" s="23"/>
      <c r="D108" s="24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8.75" customHeight="1" x14ac:dyDescent="0.2">
      <c r="A109" s="22"/>
      <c r="B109" s="16"/>
      <c r="C109" s="23"/>
      <c r="D109" s="24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8.75" customHeight="1" x14ac:dyDescent="0.2">
      <c r="A110" s="22"/>
      <c r="B110" s="16"/>
      <c r="C110" s="23"/>
      <c r="D110" s="24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8.75" customHeight="1" x14ac:dyDescent="0.2">
      <c r="A111" s="22"/>
      <c r="B111" s="16"/>
      <c r="C111" s="23"/>
      <c r="D111" s="24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8.75" customHeight="1" x14ac:dyDescent="0.2">
      <c r="A112" s="22"/>
      <c r="B112" s="16"/>
      <c r="C112" s="23"/>
      <c r="D112" s="24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8.75" customHeight="1" x14ac:dyDescent="0.2">
      <c r="A113" s="22"/>
      <c r="B113" s="16"/>
      <c r="C113" s="23"/>
      <c r="D113" s="24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8.75" customHeight="1" x14ac:dyDescent="0.2">
      <c r="A114" s="22"/>
      <c r="B114" s="16"/>
      <c r="C114" s="23"/>
      <c r="D114" s="24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8.75" customHeight="1" x14ac:dyDescent="0.2">
      <c r="A115" s="22"/>
      <c r="B115" s="16"/>
      <c r="C115" s="23"/>
      <c r="D115" s="24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8.75" customHeight="1" x14ac:dyDescent="0.2">
      <c r="A116" s="22"/>
      <c r="B116" s="16"/>
      <c r="C116" s="23"/>
      <c r="D116" s="24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8.75" customHeight="1" x14ac:dyDescent="0.2">
      <c r="A117" s="22"/>
      <c r="B117" s="16"/>
      <c r="C117" s="23"/>
      <c r="D117" s="24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8.75" customHeight="1" x14ac:dyDescent="0.2">
      <c r="A118" s="22"/>
      <c r="B118" s="16"/>
      <c r="C118" s="23"/>
      <c r="D118" s="24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8.75" customHeight="1" x14ac:dyDescent="0.2">
      <c r="A119" s="22"/>
      <c r="B119" s="16"/>
      <c r="C119" s="23"/>
      <c r="D119" s="24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8.75" customHeight="1" x14ac:dyDescent="0.2">
      <c r="A120" s="22"/>
      <c r="B120" s="16"/>
      <c r="C120" s="23"/>
      <c r="D120" s="24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8.75" customHeight="1" x14ac:dyDescent="0.2">
      <c r="A121" s="22"/>
      <c r="B121" s="16"/>
      <c r="C121" s="23"/>
      <c r="D121" s="24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8.75" customHeight="1" x14ac:dyDescent="0.2">
      <c r="A122" s="22"/>
      <c r="B122" s="16"/>
      <c r="C122" s="23"/>
      <c r="D122" s="24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8.75" customHeight="1" x14ac:dyDescent="0.2">
      <c r="A123" s="22"/>
      <c r="B123" s="16"/>
      <c r="C123" s="23"/>
      <c r="D123" s="24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8.75" customHeight="1" x14ac:dyDescent="0.2">
      <c r="A124" s="22"/>
      <c r="B124" s="16"/>
      <c r="C124" s="23"/>
      <c r="D124" s="24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8.75" customHeight="1" x14ac:dyDescent="0.2">
      <c r="A125" s="22"/>
      <c r="B125" s="16"/>
      <c r="C125" s="23"/>
      <c r="D125" s="24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8.75" customHeight="1" x14ac:dyDescent="0.2">
      <c r="A126" s="22"/>
      <c r="B126" s="16"/>
      <c r="C126" s="23"/>
      <c r="D126" s="24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8.75" customHeight="1" x14ac:dyDescent="0.2">
      <c r="A127" s="22"/>
      <c r="B127" s="16"/>
      <c r="C127" s="23"/>
      <c r="D127" s="24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8.75" customHeight="1" x14ac:dyDescent="0.2">
      <c r="A128" s="22"/>
      <c r="B128" s="16"/>
      <c r="C128" s="23"/>
      <c r="D128" s="24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8.75" customHeight="1" x14ac:dyDescent="0.2">
      <c r="A129" s="22"/>
      <c r="B129" s="16"/>
      <c r="C129" s="23"/>
      <c r="D129" s="24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8.75" customHeight="1" x14ac:dyDescent="0.2">
      <c r="A130" s="22"/>
      <c r="B130" s="16"/>
      <c r="C130" s="23"/>
      <c r="D130" s="24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8.75" customHeight="1" x14ac:dyDescent="0.2">
      <c r="A131" s="22"/>
      <c r="B131" s="16"/>
      <c r="C131" s="23"/>
      <c r="D131" s="24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8.75" customHeight="1" x14ac:dyDescent="0.2">
      <c r="A132" s="22"/>
      <c r="B132" s="16"/>
      <c r="C132" s="23"/>
      <c r="D132" s="24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8.75" customHeight="1" x14ac:dyDescent="0.2">
      <c r="A133" s="22"/>
      <c r="B133" s="16"/>
      <c r="C133" s="23"/>
      <c r="D133" s="24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8.75" customHeight="1" x14ac:dyDescent="0.2">
      <c r="A134" s="22"/>
      <c r="B134" s="16"/>
      <c r="C134" s="23"/>
      <c r="D134" s="24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8.75" customHeight="1" x14ac:dyDescent="0.2">
      <c r="A135" s="22"/>
      <c r="B135" s="16"/>
      <c r="C135" s="23"/>
      <c r="D135" s="24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8.75" customHeight="1" x14ac:dyDescent="0.2">
      <c r="A136" s="22"/>
      <c r="B136" s="16"/>
      <c r="C136" s="23"/>
      <c r="D136" s="24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8.75" customHeight="1" x14ac:dyDescent="0.2">
      <c r="A137" s="22"/>
      <c r="B137" s="16"/>
      <c r="C137" s="23"/>
      <c r="D137" s="2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8.75" customHeight="1" x14ac:dyDescent="0.2">
      <c r="A138" s="22"/>
      <c r="B138" s="16"/>
      <c r="C138" s="23"/>
      <c r="D138" s="24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8.75" customHeight="1" x14ac:dyDescent="0.2">
      <c r="A139" s="22"/>
      <c r="B139" s="16"/>
      <c r="C139" s="23"/>
      <c r="D139" s="24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8.75" customHeight="1" x14ac:dyDescent="0.2">
      <c r="A140" s="22"/>
      <c r="B140" s="16"/>
      <c r="C140" s="23"/>
      <c r="D140" s="24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8.75" customHeight="1" x14ac:dyDescent="0.2">
      <c r="A141" s="22"/>
      <c r="B141" s="16"/>
      <c r="C141" s="23"/>
      <c r="D141" s="24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8.75" customHeight="1" x14ac:dyDescent="0.2">
      <c r="A142" s="22"/>
      <c r="B142" s="16"/>
      <c r="C142" s="23"/>
      <c r="D142" s="24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8.75" customHeight="1" x14ac:dyDescent="0.2">
      <c r="A143" s="22"/>
      <c r="B143" s="16"/>
      <c r="C143" s="23"/>
      <c r="D143" s="24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8.75" customHeight="1" x14ac:dyDescent="0.2">
      <c r="A144" s="22"/>
      <c r="B144" s="16"/>
      <c r="C144" s="23"/>
      <c r="D144" s="24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8.75" customHeight="1" x14ac:dyDescent="0.2">
      <c r="A145" s="22"/>
      <c r="B145" s="16"/>
      <c r="C145" s="23"/>
      <c r="D145" s="24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8.75" customHeight="1" x14ac:dyDescent="0.2">
      <c r="A146" s="22"/>
      <c r="B146" s="16"/>
      <c r="C146" s="23"/>
      <c r="D146" s="24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8.75" customHeight="1" x14ac:dyDescent="0.2">
      <c r="A147" s="22"/>
      <c r="B147" s="16"/>
      <c r="C147" s="23"/>
      <c r="D147" s="24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8.75" customHeight="1" x14ac:dyDescent="0.2">
      <c r="A148" s="22"/>
      <c r="B148" s="16"/>
      <c r="C148" s="23"/>
      <c r="D148" s="24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8.75" customHeight="1" x14ac:dyDescent="0.2">
      <c r="A149" s="22"/>
      <c r="B149" s="16"/>
      <c r="C149" s="23"/>
      <c r="D149" s="24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8.75" customHeight="1" x14ac:dyDescent="0.2">
      <c r="A150" s="22"/>
      <c r="B150" s="16"/>
      <c r="C150" s="23"/>
      <c r="D150" s="24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8.75" customHeight="1" x14ac:dyDescent="0.2">
      <c r="A151" s="22"/>
      <c r="B151" s="16"/>
      <c r="C151" s="23"/>
      <c r="D151" s="24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8.75" customHeight="1" x14ac:dyDescent="0.2">
      <c r="A152" s="22"/>
      <c r="B152" s="16"/>
      <c r="C152" s="23"/>
      <c r="D152" s="24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8.75" customHeight="1" x14ac:dyDescent="0.2">
      <c r="A153" s="22"/>
      <c r="B153" s="16"/>
      <c r="C153" s="23"/>
      <c r="D153" s="24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8.75" customHeight="1" x14ac:dyDescent="0.2">
      <c r="A154" s="22"/>
      <c r="B154" s="16"/>
      <c r="C154" s="23"/>
      <c r="D154" s="24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8.75" customHeight="1" x14ac:dyDescent="0.2">
      <c r="A155" s="22"/>
      <c r="B155" s="16"/>
      <c r="C155" s="23"/>
      <c r="D155" s="24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8.75" customHeight="1" x14ac:dyDescent="0.2">
      <c r="A156" s="22"/>
      <c r="B156" s="16"/>
      <c r="C156" s="23"/>
      <c r="D156" s="24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8.75" customHeight="1" x14ac:dyDescent="0.2">
      <c r="A157" s="22"/>
      <c r="B157" s="16"/>
      <c r="C157" s="23"/>
      <c r="D157" s="24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8.75" customHeight="1" x14ac:dyDescent="0.2">
      <c r="A158" s="22"/>
      <c r="B158" s="16"/>
      <c r="C158" s="23"/>
      <c r="D158" s="24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8.75" customHeight="1" x14ac:dyDescent="0.2">
      <c r="A159" s="22"/>
      <c r="B159" s="16"/>
      <c r="C159" s="23"/>
      <c r="D159" s="24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8.75" customHeight="1" x14ac:dyDescent="0.2">
      <c r="A160" s="22"/>
      <c r="B160" s="16"/>
      <c r="C160" s="23"/>
      <c r="D160" s="24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8.75" customHeight="1" x14ac:dyDescent="0.2">
      <c r="A161" s="22"/>
      <c r="B161" s="16"/>
      <c r="C161" s="23"/>
      <c r="D161" s="24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8.75" customHeight="1" x14ac:dyDescent="0.2">
      <c r="A162" s="22"/>
      <c r="B162" s="16"/>
      <c r="C162" s="23"/>
      <c r="D162" s="24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8.75" customHeight="1" x14ac:dyDescent="0.2">
      <c r="A163" s="22"/>
      <c r="B163" s="16"/>
      <c r="C163" s="23"/>
      <c r="D163" s="24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8.75" customHeight="1" x14ac:dyDescent="0.2">
      <c r="A164" s="22"/>
      <c r="B164" s="16"/>
      <c r="C164" s="23"/>
      <c r="D164" s="24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8.75" customHeight="1" x14ac:dyDescent="0.2">
      <c r="A165" s="22"/>
      <c r="B165" s="16"/>
      <c r="C165" s="23"/>
      <c r="D165" s="24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8.75" customHeight="1" x14ac:dyDescent="0.2">
      <c r="A166" s="22"/>
      <c r="B166" s="16"/>
      <c r="C166" s="23"/>
      <c r="D166" s="24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8.75" customHeight="1" x14ac:dyDescent="0.2">
      <c r="A167" s="22"/>
      <c r="B167" s="16"/>
      <c r="C167" s="23"/>
      <c r="D167" s="24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8.75" customHeight="1" x14ac:dyDescent="0.2">
      <c r="A168" s="22"/>
      <c r="B168" s="16"/>
      <c r="C168" s="23"/>
      <c r="D168" s="24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8.75" customHeight="1" x14ac:dyDescent="0.2">
      <c r="A169" s="22"/>
      <c r="B169" s="16"/>
      <c r="C169" s="23"/>
      <c r="D169" s="24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8.75" customHeight="1" x14ac:dyDescent="0.2">
      <c r="A170" s="22"/>
      <c r="B170" s="16"/>
      <c r="C170" s="23"/>
      <c r="D170" s="24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8.75" customHeight="1" x14ac:dyDescent="0.2">
      <c r="A171" s="22"/>
      <c r="B171" s="16"/>
      <c r="C171" s="23"/>
      <c r="D171" s="24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8.75" customHeight="1" x14ac:dyDescent="0.2">
      <c r="A172" s="22"/>
      <c r="B172" s="16"/>
      <c r="C172" s="23"/>
      <c r="D172" s="24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8.75" customHeight="1" x14ac:dyDescent="0.2">
      <c r="A173" s="22"/>
      <c r="B173" s="16"/>
      <c r="C173" s="23"/>
      <c r="D173" s="24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8.75" customHeight="1" x14ac:dyDescent="0.2">
      <c r="A174" s="22"/>
      <c r="B174" s="16"/>
      <c r="C174" s="23"/>
      <c r="D174" s="2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8.75" customHeight="1" x14ac:dyDescent="0.2">
      <c r="A175" s="22"/>
      <c r="B175" s="16"/>
      <c r="C175" s="23"/>
      <c r="D175" s="24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8.75" customHeight="1" x14ac:dyDescent="0.2">
      <c r="A176" s="22"/>
      <c r="B176" s="16"/>
      <c r="C176" s="23"/>
      <c r="D176" s="24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8.75" customHeight="1" x14ac:dyDescent="0.2">
      <c r="A177" s="22"/>
      <c r="B177" s="16"/>
      <c r="C177" s="23"/>
      <c r="D177" s="24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8.75" customHeight="1" x14ac:dyDescent="0.2">
      <c r="A178" s="22"/>
      <c r="B178" s="16"/>
      <c r="C178" s="23"/>
      <c r="D178" s="24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8.75" customHeight="1" x14ac:dyDescent="0.2">
      <c r="A179" s="22"/>
      <c r="B179" s="16"/>
      <c r="C179" s="23"/>
      <c r="D179" s="24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8.75" customHeight="1" x14ac:dyDescent="0.2">
      <c r="A180" s="22"/>
      <c r="B180" s="16"/>
      <c r="C180" s="23"/>
      <c r="D180" s="24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8.75" customHeight="1" x14ac:dyDescent="0.2">
      <c r="A181" s="22"/>
      <c r="B181" s="16"/>
      <c r="C181" s="23"/>
      <c r="D181" s="24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8.75" customHeight="1" x14ac:dyDescent="0.2">
      <c r="A182" s="22"/>
      <c r="B182" s="16"/>
      <c r="C182" s="23"/>
      <c r="D182" s="24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8.75" customHeight="1" x14ac:dyDescent="0.2">
      <c r="A183" s="22"/>
      <c r="B183" s="16"/>
      <c r="C183" s="23"/>
      <c r="D183" s="2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8.75" customHeight="1" x14ac:dyDescent="0.2">
      <c r="A184" s="22"/>
      <c r="B184" s="16"/>
      <c r="C184" s="23"/>
      <c r="D184" s="24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8.75" customHeight="1" x14ac:dyDescent="0.2">
      <c r="A185" s="22"/>
      <c r="B185" s="16"/>
      <c r="C185" s="23"/>
      <c r="D185" s="24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8.75" customHeight="1" x14ac:dyDescent="0.2">
      <c r="A186" s="22"/>
      <c r="B186" s="16"/>
      <c r="C186" s="23"/>
      <c r="D186" s="24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8.75" customHeight="1" x14ac:dyDescent="0.2">
      <c r="A187" s="22"/>
      <c r="B187" s="16"/>
      <c r="C187" s="23"/>
      <c r="D187" s="24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8.75" customHeight="1" x14ac:dyDescent="0.2">
      <c r="A188" s="22"/>
      <c r="B188" s="16"/>
      <c r="C188" s="23"/>
      <c r="D188" s="24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8.75" customHeight="1" x14ac:dyDescent="0.2">
      <c r="A189" s="22"/>
      <c r="B189" s="16"/>
      <c r="C189" s="23"/>
      <c r="D189" s="24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8.75" customHeight="1" x14ac:dyDescent="0.2">
      <c r="A190" s="22"/>
      <c r="B190" s="16"/>
      <c r="C190" s="23"/>
      <c r="D190" s="2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8.75" customHeight="1" x14ac:dyDescent="0.2">
      <c r="A191" s="22"/>
      <c r="B191" s="16"/>
      <c r="C191" s="23"/>
      <c r="D191" s="2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8.75" customHeight="1" x14ac:dyDescent="0.2">
      <c r="A192" s="22"/>
      <c r="B192" s="16"/>
      <c r="C192" s="23"/>
      <c r="D192" s="2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8.75" customHeight="1" x14ac:dyDescent="0.2">
      <c r="A193" s="22"/>
      <c r="B193" s="16"/>
      <c r="C193" s="23"/>
      <c r="D193" s="24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8.75" customHeight="1" x14ac:dyDescent="0.2">
      <c r="A194" s="22"/>
      <c r="B194" s="16"/>
      <c r="C194" s="23"/>
      <c r="D194" s="24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8.75" customHeight="1" x14ac:dyDescent="0.2">
      <c r="A195" s="22"/>
      <c r="B195" s="16"/>
      <c r="C195" s="23"/>
      <c r="D195" s="24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8.75" customHeight="1" x14ac:dyDescent="0.2">
      <c r="A196" s="22"/>
      <c r="B196" s="16"/>
      <c r="C196" s="23"/>
      <c r="D196" s="2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8.75" customHeight="1" x14ac:dyDescent="0.2">
      <c r="A197" s="22"/>
      <c r="B197" s="16"/>
      <c r="C197" s="23"/>
      <c r="D197" s="24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8.75" customHeight="1" x14ac:dyDescent="0.2">
      <c r="A198" s="22"/>
      <c r="B198" s="16"/>
      <c r="C198" s="23"/>
      <c r="D198" s="24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8.75" customHeight="1" x14ac:dyDescent="0.2">
      <c r="A199" s="22"/>
      <c r="B199" s="16"/>
      <c r="C199" s="23"/>
      <c r="D199" s="2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8.75" customHeight="1" x14ac:dyDescent="0.2">
      <c r="A200" s="22"/>
      <c r="B200" s="16"/>
      <c r="C200" s="23"/>
      <c r="D200" s="2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8.75" customHeight="1" x14ac:dyDescent="0.2">
      <c r="A201" s="22"/>
      <c r="B201" s="16"/>
      <c r="C201" s="23"/>
      <c r="D201" s="2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8.75" customHeight="1" x14ac:dyDescent="0.2">
      <c r="A202" s="22"/>
      <c r="B202" s="16"/>
      <c r="C202" s="23"/>
      <c r="D202" s="24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8.75" customHeight="1" x14ac:dyDescent="0.2">
      <c r="A203" s="22"/>
      <c r="B203" s="16"/>
      <c r="C203" s="23"/>
      <c r="D203" s="24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8.75" customHeight="1" x14ac:dyDescent="0.2">
      <c r="A204" s="22"/>
      <c r="B204" s="16"/>
      <c r="C204" s="23"/>
      <c r="D204" s="2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8.75" customHeight="1" x14ac:dyDescent="0.2">
      <c r="A205" s="22"/>
      <c r="B205" s="16"/>
      <c r="C205" s="23"/>
      <c r="D205" s="2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8.75" customHeight="1" x14ac:dyDescent="0.2">
      <c r="A206" s="22"/>
      <c r="B206" s="16"/>
      <c r="C206" s="23"/>
      <c r="D206" s="2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8.75" customHeight="1" x14ac:dyDescent="0.2">
      <c r="A207" s="22"/>
      <c r="B207" s="16"/>
      <c r="C207" s="23"/>
      <c r="D207" s="2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8.75" customHeight="1" x14ac:dyDescent="0.2">
      <c r="A208" s="22"/>
      <c r="B208" s="16"/>
      <c r="C208" s="23"/>
      <c r="D208" s="2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8.75" customHeight="1" x14ac:dyDescent="0.2">
      <c r="A209" s="22"/>
      <c r="B209" s="16"/>
      <c r="C209" s="23"/>
      <c r="D209" s="2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8.75" customHeight="1" x14ac:dyDescent="0.2">
      <c r="A210" s="22"/>
      <c r="B210" s="16"/>
      <c r="C210" s="23"/>
      <c r="D210" s="24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8.75" customHeight="1" x14ac:dyDescent="0.2">
      <c r="A211" s="22"/>
      <c r="B211" s="16"/>
      <c r="C211" s="23"/>
      <c r="D211" s="24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8.75" customHeight="1" x14ac:dyDescent="0.2">
      <c r="A212" s="22"/>
      <c r="B212" s="16"/>
      <c r="C212" s="23"/>
      <c r="D212" s="2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8.75" customHeight="1" x14ac:dyDescent="0.2">
      <c r="A213" s="22"/>
      <c r="B213" s="16"/>
      <c r="C213" s="23"/>
      <c r="D213" s="2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8.75" customHeight="1" x14ac:dyDescent="0.2">
      <c r="A214" s="22"/>
      <c r="B214" s="16"/>
      <c r="C214" s="23"/>
      <c r="D214" s="2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8.75" customHeight="1" x14ac:dyDescent="0.2">
      <c r="A215" s="22"/>
      <c r="B215" s="16"/>
      <c r="C215" s="23"/>
      <c r="D215" s="2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8.75" customHeight="1" x14ac:dyDescent="0.2">
      <c r="A216" s="22"/>
      <c r="B216" s="16"/>
      <c r="C216" s="23"/>
      <c r="D216" s="2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8.75" customHeight="1" x14ac:dyDescent="0.2">
      <c r="A217" s="22"/>
      <c r="B217" s="16"/>
      <c r="C217" s="23"/>
      <c r="D217" s="24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8.75" customHeight="1" x14ac:dyDescent="0.2">
      <c r="A218" s="22"/>
      <c r="B218" s="16"/>
      <c r="C218" s="23"/>
      <c r="D218" s="24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8.75" customHeight="1" x14ac:dyDescent="0.2">
      <c r="A219" s="22"/>
      <c r="B219" s="16"/>
      <c r="C219" s="23"/>
      <c r="D219" s="24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8.75" customHeight="1" x14ac:dyDescent="0.2">
      <c r="A220" s="22"/>
      <c r="B220" s="16"/>
      <c r="C220" s="23"/>
      <c r="D220" s="24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8.75" customHeight="1" x14ac:dyDescent="0.2">
      <c r="A221" s="22"/>
      <c r="B221" s="16"/>
      <c r="C221" s="23"/>
      <c r="D221" s="24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8.75" customHeight="1" x14ac:dyDescent="0.2">
      <c r="A222" s="22"/>
      <c r="B222" s="16"/>
      <c r="C222" s="23"/>
      <c r="D222" s="24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8.75" customHeight="1" x14ac:dyDescent="0.2">
      <c r="A223" s="22"/>
      <c r="B223" s="16"/>
      <c r="C223" s="23"/>
      <c r="D223" s="24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8.75" customHeight="1" x14ac:dyDescent="0.2">
      <c r="A224" s="22"/>
      <c r="B224" s="16"/>
      <c r="C224" s="23"/>
      <c r="D224" s="24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8.75" customHeight="1" x14ac:dyDescent="0.2">
      <c r="A225" s="22"/>
      <c r="B225" s="16"/>
      <c r="C225" s="23"/>
      <c r="D225" s="24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8.75" customHeight="1" x14ac:dyDescent="0.2">
      <c r="A226" s="22"/>
      <c r="B226" s="16"/>
      <c r="C226" s="23"/>
      <c r="D226" s="24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8.75" customHeight="1" x14ac:dyDescent="0.2">
      <c r="A227" s="22"/>
      <c r="B227" s="16"/>
      <c r="C227" s="23"/>
      <c r="D227" s="24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8.75" customHeight="1" x14ac:dyDescent="0.2">
      <c r="A228" s="22"/>
      <c r="B228" s="16"/>
      <c r="C228" s="23"/>
      <c r="D228" s="24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8.75" customHeight="1" x14ac:dyDescent="0.2">
      <c r="A229" s="22"/>
      <c r="B229" s="16"/>
      <c r="C229" s="23"/>
      <c r="D229" s="24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8.75" customHeight="1" x14ac:dyDescent="0.2">
      <c r="A230" s="22"/>
      <c r="B230" s="16"/>
      <c r="C230" s="23"/>
      <c r="D230" s="24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8.75" customHeight="1" x14ac:dyDescent="0.2">
      <c r="A231" s="22"/>
      <c r="B231" s="16"/>
      <c r="C231" s="23"/>
      <c r="D231" s="24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8.75" customHeight="1" x14ac:dyDescent="0.2">
      <c r="A232" s="22"/>
      <c r="B232" s="16"/>
      <c r="C232" s="23"/>
      <c r="D232" s="24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8.75" customHeight="1" x14ac:dyDescent="0.2">
      <c r="A233" s="22"/>
      <c r="B233" s="16"/>
      <c r="C233" s="23"/>
      <c r="D233" s="24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8.75" customHeight="1" x14ac:dyDescent="0.2">
      <c r="A234" s="22"/>
      <c r="B234" s="16"/>
      <c r="C234" s="23"/>
      <c r="D234" s="24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8.75" customHeight="1" x14ac:dyDescent="0.2">
      <c r="A235" s="22"/>
      <c r="B235" s="16"/>
      <c r="C235" s="23"/>
      <c r="D235" s="24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8.75" customHeight="1" x14ac:dyDescent="0.2">
      <c r="A236" s="22"/>
      <c r="B236" s="16"/>
      <c r="C236" s="23"/>
      <c r="D236" s="24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8.75" customHeight="1" x14ac:dyDescent="0.2">
      <c r="A237" s="22"/>
      <c r="B237" s="16"/>
      <c r="C237" s="23"/>
      <c r="D237" s="24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8.75" customHeight="1" x14ac:dyDescent="0.2">
      <c r="A238" s="22"/>
      <c r="B238" s="16"/>
      <c r="C238" s="23"/>
      <c r="D238" s="24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8.75" customHeight="1" x14ac:dyDescent="0.2">
      <c r="A239" s="22"/>
      <c r="B239" s="16"/>
      <c r="C239" s="23"/>
      <c r="D239" s="24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8.75" customHeight="1" x14ac:dyDescent="0.2">
      <c r="A240" s="22"/>
      <c r="B240" s="16"/>
      <c r="C240" s="23"/>
      <c r="D240" s="24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8.75" customHeight="1" x14ac:dyDescent="0.2">
      <c r="A241" s="22"/>
      <c r="B241" s="16"/>
      <c r="C241" s="23"/>
      <c r="D241" s="24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8.75" customHeight="1" x14ac:dyDescent="0.2">
      <c r="A242" s="22"/>
      <c r="B242" s="16"/>
      <c r="C242" s="23"/>
      <c r="D242" s="24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8.75" customHeight="1" x14ac:dyDescent="0.2">
      <c r="A243" s="22"/>
      <c r="B243" s="16"/>
      <c r="C243" s="23"/>
      <c r="D243" s="24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8.75" customHeight="1" x14ac:dyDescent="0.2">
      <c r="A244" s="22"/>
      <c r="B244" s="16"/>
      <c r="C244" s="23"/>
      <c r="D244" s="24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8.75" customHeight="1" x14ac:dyDescent="0.2">
      <c r="A245" s="22"/>
      <c r="B245" s="16"/>
      <c r="C245" s="23"/>
      <c r="D245" s="24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8.75" customHeight="1" x14ac:dyDescent="0.2">
      <c r="A246" s="22"/>
      <c r="B246" s="16"/>
      <c r="C246" s="23"/>
      <c r="D246" s="24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8.75" customHeight="1" x14ac:dyDescent="0.2">
      <c r="A247" s="22"/>
      <c r="B247" s="16"/>
      <c r="C247" s="23"/>
      <c r="D247" s="24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8.75" customHeight="1" x14ac:dyDescent="0.2">
      <c r="A248" s="22"/>
      <c r="B248" s="16"/>
      <c r="C248" s="23"/>
      <c r="D248" s="24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8.75" customHeight="1" x14ac:dyDescent="0.2">
      <c r="A249" s="22"/>
      <c r="B249" s="16"/>
      <c r="C249" s="23"/>
      <c r="D249" s="24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8.75" customHeight="1" x14ac:dyDescent="0.2">
      <c r="A250" s="22"/>
      <c r="B250" s="16"/>
      <c r="C250" s="23"/>
      <c r="D250" s="24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8.75" customHeight="1" x14ac:dyDescent="0.2">
      <c r="A251" s="22"/>
      <c r="B251" s="16"/>
      <c r="C251" s="23"/>
      <c r="D251" s="24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8.75" customHeight="1" x14ac:dyDescent="0.2">
      <c r="A252" s="22"/>
      <c r="B252" s="16"/>
      <c r="C252" s="23"/>
      <c r="D252" s="24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8.75" customHeight="1" x14ac:dyDescent="0.2">
      <c r="A253" s="22"/>
      <c r="B253" s="16"/>
      <c r="C253" s="23"/>
      <c r="D253" s="24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8.75" customHeight="1" x14ac:dyDescent="0.2">
      <c r="A254" s="22"/>
      <c r="B254" s="16"/>
      <c r="C254" s="23"/>
      <c r="D254" s="24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8.75" customHeight="1" x14ac:dyDescent="0.2">
      <c r="A255" s="22"/>
      <c r="B255" s="16"/>
      <c r="C255" s="23"/>
      <c r="D255" s="24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8.75" customHeight="1" x14ac:dyDescent="0.2">
      <c r="A256" s="22"/>
      <c r="B256" s="16"/>
      <c r="C256" s="23"/>
      <c r="D256" s="24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8.75" customHeight="1" x14ac:dyDescent="0.2">
      <c r="A257" s="22"/>
      <c r="B257" s="16"/>
      <c r="C257" s="23"/>
      <c r="D257" s="24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8.75" customHeight="1" x14ac:dyDescent="0.2">
      <c r="A258" s="22"/>
      <c r="B258" s="16"/>
      <c r="C258" s="23"/>
      <c r="D258" s="24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8.75" customHeight="1" x14ac:dyDescent="0.2">
      <c r="A259" s="22"/>
      <c r="B259" s="16"/>
      <c r="C259" s="23"/>
      <c r="D259" s="24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8.75" customHeight="1" x14ac:dyDescent="0.2">
      <c r="A260" s="22"/>
      <c r="B260" s="16"/>
      <c r="C260" s="23"/>
      <c r="D260" s="24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8.75" customHeight="1" x14ac:dyDescent="0.2">
      <c r="A261" s="22"/>
      <c r="B261" s="16"/>
      <c r="C261" s="23"/>
      <c r="D261" s="24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8.75" customHeight="1" x14ac:dyDescent="0.2">
      <c r="A262" s="22"/>
      <c r="B262" s="16"/>
      <c r="C262" s="23"/>
      <c r="D262" s="24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8.75" customHeight="1" x14ac:dyDescent="0.2">
      <c r="A263" s="22"/>
      <c r="B263" s="16"/>
      <c r="C263" s="23"/>
      <c r="D263" s="24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8.75" customHeight="1" x14ac:dyDescent="0.2">
      <c r="A264" s="22"/>
      <c r="B264" s="16"/>
      <c r="C264" s="23"/>
      <c r="D264" s="2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8.75" customHeight="1" x14ac:dyDescent="0.2">
      <c r="A265" s="22"/>
      <c r="B265" s="16"/>
      <c r="C265" s="23"/>
      <c r="D265" s="2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8.75" customHeight="1" x14ac:dyDescent="0.2">
      <c r="A266" s="22"/>
      <c r="B266" s="16"/>
      <c r="C266" s="23"/>
      <c r="D266" s="2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8.75" customHeight="1" x14ac:dyDescent="0.2">
      <c r="A267" s="22"/>
      <c r="B267" s="16"/>
      <c r="C267" s="23"/>
      <c r="D267" s="24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8.75" customHeight="1" x14ac:dyDescent="0.2">
      <c r="A268" s="22"/>
      <c r="B268" s="16"/>
      <c r="C268" s="23"/>
      <c r="D268" s="24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8.75" customHeight="1" x14ac:dyDescent="0.2">
      <c r="A269" s="22"/>
      <c r="B269" s="16"/>
      <c r="C269" s="23"/>
      <c r="D269" s="24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8.75" customHeight="1" x14ac:dyDescent="0.2">
      <c r="A270" s="22"/>
      <c r="B270" s="16"/>
      <c r="C270" s="23"/>
      <c r="D270" s="24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8.75" customHeight="1" x14ac:dyDescent="0.2">
      <c r="A271" s="22"/>
      <c r="B271" s="16"/>
      <c r="C271" s="23"/>
      <c r="D271" s="24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8.75" customHeight="1" x14ac:dyDescent="0.2">
      <c r="A272" s="22"/>
      <c r="B272" s="16"/>
      <c r="C272" s="23"/>
      <c r="D272" s="24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8.75" customHeight="1" x14ac:dyDescent="0.2">
      <c r="A273" s="22"/>
      <c r="B273" s="16"/>
      <c r="C273" s="23"/>
      <c r="D273" s="24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8.75" customHeight="1" x14ac:dyDescent="0.2">
      <c r="A274" s="22"/>
      <c r="B274" s="16"/>
      <c r="C274" s="23"/>
      <c r="D274" s="24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8.75" customHeight="1" x14ac:dyDescent="0.2">
      <c r="A275" s="22"/>
      <c r="B275" s="16"/>
      <c r="C275" s="23"/>
      <c r="D275" s="24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8.75" customHeight="1" x14ac:dyDescent="0.2">
      <c r="A276" s="22"/>
      <c r="B276" s="16"/>
      <c r="C276" s="23"/>
      <c r="D276" s="2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8.75" customHeight="1" x14ac:dyDescent="0.2">
      <c r="A277" s="22"/>
      <c r="B277" s="16"/>
      <c r="C277" s="23"/>
      <c r="D277" s="24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8.75" customHeight="1" x14ac:dyDescent="0.2">
      <c r="A278" s="22"/>
      <c r="B278" s="16"/>
      <c r="C278" s="23"/>
      <c r="D278" s="24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8.75" customHeight="1" x14ac:dyDescent="0.2">
      <c r="A279" s="22"/>
      <c r="B279" s="16"/>
      <c r="C279" s="23"/>
      <c r="D279" s="24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8.75" customHeight="1" x14ac:dyDescent="0.2">
      <c r="A280" s="22"/>
      <c r="B280" s="16"/>
      <c r="C280" s="23"/>
      <c r="D280" s="24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8.75" customHeight="1" x14ac:dyDescent="0.2">
      <c r="A281" s="22"/>
      <c r="B281" s="16"/>
      <c r="C281" s="23"/>
      <c r="D281" s="24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8.75" customHeight="1" x14ac:dyDescent="0.2">
      <c r="A282" s="22"/>
      <c r="B282" s="16"/>
      <c r="C282" s="23"/>
      <c r="D282" s="24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8.75" customHeight="1" x14ac:dyDescent="0.2">
      <c r="A283" s="22"/>
      <c r="B283" s="16"/>
      <c r="C283" s="23"/>
      <c r="D283" s="24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8.75" customHeight="1" x14ac:dyDescent="0.2">
      <c r="A284" s="22"/>
      <c r="B284" s="16"/>
      <c r="C284" s="23"/>
      <c r="D284" s="24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8.75" customHeight="1" x14ac:dyDescent="0.2">
      <c r="A285" s="22"/>
      <c r="B285" s="16"/>
      <c r="C285" s="23"/>
      <c r="D285" s="24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8.75" customHeight="1" x14ac:dyDescent="0.2">
      <c r="A286" s="22"/>
      <c r="B286" s="16"/>
      <c r="C286" s="23"/>
      <c r="D286" s="24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8.75" customHeight="1" x14ac:dyDescent="0.2">
      <c r="A287" s="22"/>
      <c r="B287" s="16"/>
      <c r="C287" s="23"/>
      <c r="D287" s="24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8.75" customHeight="1" x14ac:dyDescent="0.2">
      <c r="A288" s="22"/>
      <c r="B288" s="16"/>
      <c r="C288" s="23"/>
      <c r="D288" s="24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8.75" customHeight="1" x14ac:dyDescent="0.2">
      <c r="A289" s="22"/>
      <c r="B289" s="16"/>
      <c r="C289" s="23"/>
      <c r="D289" s="24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8.75" customHeight="1" x14ac:dyDescent="0.2">
      <c r="A290" s="22"/>
      <c r="B290" s="16"/>
      <c r="C290" s="23"/>
      <c r="D290" s="24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8.75" customHeight="1" x14ac:dyDescent="0.2">
      <c r="A291" s="22"/>
      <c r="B291" s="16"/>
      <c r="C291" s="23"/>
      <c r="D291" s="24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8.75" customHeight="1" x14ac:dyDescent="0.2">
      <c r="A292" s="22"/>
      <c r="B292" s="16"/>
      <c r="C292" s="23"/>
      <c r="D292" s="24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8.75" customHeight="1" x14ac:dyDescent="0.2">
      <c r="A293" s="22"/>
      <c r="B293" s="16"/>
      <c r="C293" s="23"/>
      <c r="D293" s="24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8.75" customHeight="1" x14ac:dyDescent="0.2">
      <c r="A294" s="22"/>
      <c r="B294" s="16"/>
      <c r="C294" s="23"/>
      <c r="D294" s="24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8.75" customHeight="1" x14ac:dyDescent="0.2">
      <c r="A295" s="22"/>
      <c r="B295" s="16"/>
      <c r="C295" s="23"/>
      <c r="D295" s="24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8.75" customHeight="1" x14ac:dyDescent="0.2">
      <c r="A296" s="22"/>
      <c r="B296" s="16"/>
      <c r="C296" s="23"/>
      <c r="D296" s="24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8.75" customHeight="1" x14ac:dyDescent="0.2">
      <c r="A297" s="22"/>
      <c r="B297" s="16"/>
      <c r="C297" s="23"/>
      <c r="D297" s="24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8.75" customHeight="1" x14ac:dyDescent="0.2">
      <c r="A298" s="22"/>
      <c r="B298" s="16"/>
      <c r="C298" s="23"/>
      <c r="D298" s="24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8.75" customHeight="1" x14ac:dyDescent="0.2">
      <c r="A299" s="22"/>
      <c r="B299" s="16"/>
      <c r="C299" s="23"/>
      <c r="D299" s="24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8.75" customHeight="1" x14ac:dyDescent="0.2">
      <c r="A300" s="22"/>
      <c r="B300" s="16"/>
      <c r="C300" s="23"/>
      <c r="D300" s="24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8.75" customHeight="1" x14ac:dyDescent="0.2">
      <c r="A301" s="22"/>
      <c r="B301" s="16"/>
      <c r="C301" s="23"/>
      <c r="D301" s="24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8.75" customHeight="1" x14ac:dyDescent="0.2">
      <c r="A302" s="22"/>
      <c r="B302" s="16"/>
      <c r="C302" s="23"/>
      <c r="D302" s="24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8.75" customHeight="1" x14ac:dyDescent="0.2">
      <c r="A303" s="22"/>
      <c r="B303" s="16"/>
      <c r="C303" s="23"/>
      <c r="D303" s="24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8.75" customHeight="1" x14ac:dyDescent="0.2">
      <c r="A304" s="22"/>
      <c r="B304" s="16"/>
      <c r="C304" s="23"/>
      <c r="D304" s="24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8.75" customHeight="1" x14ac:dyDescent="0.2">
      <c r="A305" s="22"/>
      <c r="B305" s="16"/>
      <c r="C305" s="23"/>
      <c r="D305" s="24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8.75" customHeight="1" x14ac:dyDescent="0.2">
      <c r="A306" s="22"/>
      <c r="B306" s="16"/>
      <c r="C306" s="23"/>
      <c r="D306" s="24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8.75" customHeight="1" x14ac:dyDescent="0.2">
      <c r="A307" s="22"/>
      <c r="B307" s="16"/>
      <c r="C307" s="23"/>
      <c r="D307" s="2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8.75" customHeight="1" x14ac:dyDescent="0.2">
      <c r="A308" s="22"/>
      <c r="B308" s="16"/>
      <c r="C308" s="23"/>
      <c r="D308" s="24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8.75" customHeight="1" x14ac:dyDescent="0.2">
      <c r="A309" s="22"/>
      <c r="B309" s="16"/>
      <c r="C309" s="23"/>
      <c r="D309" s="24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8.75" customHeight="1" x14ac:dyDescent="0.2">
      <c r="A310" s="22"/>
      <c r="B310" s="16"/>
      <c r="C310" s="23"/>
      <c r="D310" s="24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8.75" customHeight="1" x14ac:dyDescent="0.2">
      <c r="A311" s="22"/>
      <c r="B311" s="16"/>
      <c r="C311" s="23"/>
      <c r="D311" s="2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8.75" customHeight="1" x14ac:dyDescent="0.2">
      <c r="A312" s="22"/>
      <c r="B312" s="16"/>
      <c r="C312" s="23"/>
      <c r="D312" s="2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8.75" customHeight="1" x14ac:dyDescent="0.2">
      <c r="A313" s="22"/>
      <c r="B313" s="16"/>
      <c r="C313" s="23"/>
      <c r="D313" s="2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8.75" customHeight="1" x14ac:dyDescent="0.2">
      <c r="A314" s="22"/>
      <c r="B314" s="16"/>
      <c r="C314" s="23"/>
      <c r="D314" s="2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8.75" customHeight="1" x14ac:dyDescent="0.2">
      <c r="A315" s="22"/>
      <c r="B315" s="16"/>
      <c r="C315" s="23"/>
      <c r="D315" s="2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8.75" customHeight="1" x14ac:dyDescent="0.2">
      <c r="A316" s="22"/>
      <c r="B316" s="16"/>
      <c r="C316" s="23"/>
      <c r="D316" s="2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8.75" customHeight="1" x14ac:dyDescent="0.2">
      <c r="A317" s="22"/>
      <c r="B317" s="16"/>
      <c r="C317" s="23"/>
      <c r="D317" s="2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8.75" customHeight="1" x14ac:dyDescent="0.2">
      <c r="A318" s="22"/>
      <c r="B318" s="16"/>
      <c r="C318" s="23"/>
      <c r="D318" s="2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8.75" customHeight="1" x14ac:dyDescent="0.2">
      <c r="A319" s="22"/>
      <c r="B319" s="16"/>
      <c r="C319" s="23"/>
      <c r="D319" s="2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8.75" customHeight="1" x14ac:dyDescent="0.2">
      <c r="A320" s="22"/>
      <c r="B320" s="16"/>
      <c r="C320" s="23"/>
      <c r="D320" s="2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8.75" customHeight="1" x14ac:dyDescent="0.2">
      <c r="A321" s="22"/>
      <c r="B321" s="16"/>
      <c r="C321" s="23"/>
      <c r="D321" s="2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8.75" customHeight="1" x14ac:dyDescent="0.2">
      <c r="A322" s="22"/>
      <c r="B322" s="16"/>
      <c r="C322" s="23"/>
      <c r="D322" s="2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8.75" customHeight="1" x14ac:dyDescent="0.2">
      <c r="A323" s="22"/>
      <c r="B323" s="16"/>
      <c r="C323" s="23"/>
      <c r="D323" s="2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8.75" customHeight="1" x14ac:dyDescent="0.2">
      <c r="A324" s="22"/>
      <c r="B324" s="16"/>
      <c r="C324" s="23"/>
      <c r="D324" s="2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8.75" customHeight="1" x14ac:dyDescent="0.2">
      <c r="A325" s="22"/>
      <c r="B325" s="16"/>
      <c r="C325" s="23"/>
      <c r="D325" s="2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8.75" customHeight="1" x14ac:dyDescent="0.2">
      <c r="A326" s="22"/>
      <c r="B326" s="16"/>
      <c r="C326" s="23"/>
      <c r="D326" s="2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8.75" customHeight="1" x14ac:dyDescent="0.2">
      <c r="A327" s="22"/>
      <c r="B327" s="16"/>
      <c r="C327" s="23"/>
      <c r="D327" s="2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8.75" customHeight="1" x14ac:dyDescent="0.2">
      <c r="A328" s="22"/>
      <c r="B328" s="16"/>
      <c r="C328" s="23"/>
      <c r="D328" s="2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8.75" customHeight="1" x14ac:dyDescent="0.2">
      <c r="A329" s="22"/>
      <c r="B329" s="16"/>
      <c r="C329" s="23"/>
      <c r="D329" s="2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8.75" customHeight="1" x14ac:dyDescent="0.2">
      <c r="A330" s="22"/>
      <c r="B330" s="16"/>
      <c r="C330" s="23"/>
      <c r="D330" s="2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8.75" customHeight="1" x14ac:dyDescent="0.2">
      <c r="A331" s="22"/>
      <c r="B331" s="16"/>
      <c r="C331" s="23"/>
      <c r="D331" s="2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8.75" customHeight="1" x14ac:dyDescent="0.2">
      <c r="A332" s="22"/>
      <c r="B332" s="16"/>
      <c r="C332" s="23"/>
      <c r="D332" s="2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8.75" customHeight="1" x14ac:dyDescent="0.2">
      <c r="A333" s="22"/>
      <c r="B333" s="16"/>
      <c r="C333" s="23"/>
      <c r="D333" s="2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8.75" customHeight="1" x14ac:dyDescent="0.2">
      <c r="A334" s="22"/>
      <c r="B334" s="16"/>
      <c r="C334" s="23"/>
      <c r="D334" s="2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8.75" customHeight="1" x14ac:dyDescent="0.2">
      <c r="A335" s="22"/>
      <c r="B335" s="16"/>
      <c r="C335" s="23"/>
      <c r="D335" s="2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8.75" customHeight="1" x14ac:dyDescent="0.2">
      <c r="A336" s="22"/>
      <c r="B336" s="16"/>
      <c r="C336" s="23"/>
      <c r="D336" s="2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8.75" customHeight="1" x14ac:dyDescent="0.2">
      <c r="A337" s="22"/>
      <c r="B337" s="16"/>
      <c r="C337" s="23"/>
      <c r="D337" s="2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8.75" customHeight="1" x14ac:dyDescent="0.2">
      <c r="A338" s="22"/>
      <c r="B338" s="16"/>
      <c r="C338" s="23"/>
      <c r="D338" s="2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8.75" customHeight="1" x14ac:dyDescent="0.2">
      <c r="A339" s="22"/>
      <c r="B339" s="16"/>
      <c r="C339" s="23"/>
      <c r="D339" s="2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8.75" customHeight="1" x14ac:dyDescent="0.2">
      <c r="A340" s="22"/>
      <c r="B340" s="16"/>
      <c r="C340" s="23"/>
      <c r="D340" s="2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8.75" customHeight="1" x14ac:dyDescent="0.2">
      <c r="A341" s="22"/>
      <c r="B341" s="16"/>
      <c r="C341" s="23"/>
      <c r="D341" s="2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8.75" customHeight="1" x14ac:dyDescent="0.2">
      <c r="A342" s="22"/>
      <c r="B342" s="16"/>
      <c r="C342" s="23"/>
      <c r="D342" s="2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8.75" customHeight="1" x14ac:dyDescent="0.2">
      <c r="A343" s="22"/>
      <c r="B343" s="16"/>
      <c r="C343" s="23"/>
      <c r="D343" s="2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8.75" customHeight="1" x14ac:dyDescent="0.2">
      <c r="A344" s="22"/>
      <c r="B344" s="16"/>
      <c r="C344" s="23"/>
      <c r="D344" s="2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8.75" customHeight="1" x14ac:dyDescent="0.2">
      <c r="A345" s="22"/>
      <c r="B345" s="16"/>
      <c r="C345" s="23"/>
      <c r="D345" s="2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8.75" customHeight="1" x14ac:dyDescent="0.2">
      <c r="A346" s="22"/>
      <c r="B346" s="16"/>
      <c r="C346" s="23"/>
      <c r="D346" s="2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8.75" customHeight="1" x14ac:dyDescent="0.2">
      <c r="A347" s="22"/>
      <c r="B347" s="16"/>
      <c r="C347" s="23"/>
      <c r="D347" s="2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8.75" customHeight="1" x14ac:dyDescent="0.2">
      <c r="A348" s="22"/>
      <c r="B348" s="16"/>
      <c r="C348" s="23"/>
      <c r="D348" s="2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8.75" customHeight="1" x14ac:dyDescent="0.2">
      <c r="A349" s="22"/>
      <c r="B349" s="16"/>
      <c r="C349" s="23"/>
      <c r="D349" s="2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8.75" customHeight="1" x14ac:dyDescent="0.2">
      <c r="A350" s="22"/>
      <c r="B350" s="16"/>
      <c r="C350" s="23"/>
      <c r="D350" s="2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8.75" customHeight="1" x14ac:dyDescent="0.2">
      <c r="A351" s="22"/>
      <c r="B351" s="16"/>
      <c r="C351" s="23"/>
      <c r="D351" s="2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8.75" customHeight="1" x14ac:dyDescent="0.2">
      <c r="A352" s="22"/>
      <c r="B352" s="16"/>
      <c r="C352" s="23"/>
      <c r="D352" s="2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8.75" customHeight="1" x14ac:dyDescent="0.2">
      <c r="A353" s="22"/>
      <c r="B353" s="16"/>
      <c r="C353" s="23"/>
      <c r="D353" s="2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8.75" customHeight="1" x14ac:dyDescent="0.2">
      <c r="A354" s="22"/>
      <c r="B354" s="16"/>
      <c r="C354" s="23"/>
      <c r="D354" s="2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8.75" customHeight="1" x14ac:dyDescent="0.2">
      <c r="A355" s="22"/>
      <c r="B355" s="16"/>
      <c r="C355" s="23"/>
      <c r="D355" s="2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8.75" customHeight="1" x14ac:dyDescent="0.2">
      <c r="A356" s="22"/>
      <c r="B356" s="16"/>
      <c r="C356" s="23"/>
      <c r="D356" s="2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8.75" customHeight="1" x14ac:dyDescent="0.2">
      <c r="A357" s="22"/>
      <c r="B357" s="16"/>
      <c r="C357" s="23"/>
      <c r="D357" s="2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8.75" customHeight="1" x14ac:dyDescent="0.2">
      <c r="A358" s="22"/>
      <c r="B358" s="16"/>
      <c r="C358" s="23"/>
      <c r="D358" s="2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8.75" customHeight="1" x14ac:dyDescent="0.2">
      <c r="A359" s="22"/>
      <c r="B359" s="16"/>
      <c r="C359" s="23"/>
      <c r="D359" s="2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8.75" customHeight="1" x14ac:dyDescent="0.2">
      <c r="A360" s="22"/>
      <c r="B360" s="16"/>
      <c r="C360" s="23"/>
      <c r="D360" s="2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8.75" customHeight="1" x14ac:dyDescent="0.2">
      <c r="A361" s="22"/>
      <c r="B361" s="16"/>
      <c r="C361" s="23"/>
      <c r="D361" s="2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8.75" customHeight="1" x14ac:dyDescent="0.2">
      <c r="A362" s="22"/>
      <c r="B362" s="16"/>
      <c r="C362" s="23"/>
      <c r="D362" s="2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8.75" customHeight="1" x14ac:dyDescent="0.2">
      <c r="A363" s="22"/>
      <c r="B363" s="16"/>
      <c r="C363" s="23"/>
      <c r="D363" s="2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8.75" customHeight="1" x14ac:dyDescent="0.2">
      <c r="A364" s="22"/>
      <c r="B364" s="16"/>
      <c r="C364" s="23"/>
      <c r="D364" s="2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8.75" customHeight="1" x14ac:dyDescent="0.2">
      <c r="A365" s="22"/>
      <c r="B365" s="16"/>
      <c r="C365" s="23"/>
      <c r="D365" s="2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8.75" customHeight="1" x14ac:dyDescent="0.2">
      <c r="A366" s="22"/>
      <c r="B366" s="16"/>
      <c r="C366" s="23"/>
      <c r="D366" s="2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8.75" customHeight="1" x14ac:dyDescent="0.2">
      <c r="A367" s="22"/>
      <c r="B367" s="16"/>
      <c r="C367" s="23"/>
      <c r="D367" s="2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8.75" customHeight="1" x14ac:dyDescent="0.2">
      <c r="A368" s="22"/>
      <c r="B368" s="16"/>
      <c r="C368" s="23"/>
      <c r="D368" s="2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8.75" customHeight="1" x14ac:dyDescent="0.2">
      <c r="A369" s="22"/>
      <c r="B369" s="16"/>
      <c r="C369" s="23"/>
      <c r="D369" s="2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8.75" customHeight="1" x14ac:dyDescent="0.2">
      <c r="A370" s="22"/>
      <c r="B370" s="16"/>
      <c r="C370" s="23"/>
      <c r="D370" s="2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8.75" customHeight="1" x14ac:dyDescent="0.2">
      <c r="A371" s="22"/>
      <c r="B371" s="16"/>
      <c r="C371" s="23"/>
      <c r="D371" s="2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8.75" customHeight="1" x14ac:dyDescent="0.2">
      <c r="A372" s="22"/>
      <c r="B372" s="16"/>
      <c r="C372" s="23"/>
      <c r="D372" s="2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8.75" customHeight="1" x14ac:dyDescent="0.2">
      <c r="A373" s="22"/>
      <c r="B373" s="16"/>
      <c r="C373" s="23"/>
      <c r="D373" s="2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8.75" customHeight="1" x14ac:dyDescent="0.2">
      <c r="A374" s="22"/>
      <c r="B374" s="16"/>
      <c r="C374" s="23"/>
      <c r="D374" s="2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8.75" customHeight="1" x14ac:dyDescent="0.2">
      <c r="A375" s="22"/>
      <c r="B375" s="16"/>
      <c r="C375" s="23"/>
      <c r="D375" s="2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8.75" customHeight="1" x14ac:dyDescent="0.2">
      <c r="A376" s="22"/>
      <c r="B376" s="16"/>
      <c r="C376" s="23"/>
      <c r="D376" s="2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8.75" customHeight="1" x14ac:dyDescent="0.2">
      <c r="A377" s="22"/>
      <c r="B377" s="16"/>
      <c r="C377" s="23"/>
      <c r="D377" s="2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8.75" customHeight="1" x14ac:dyDescent="0.2">
      <c r="A378" s="22"/>
      <c r="B378" s="16"/>
      <c r="C378" s="23"/>
      <c r="D378" s="2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8.75" customHeight="1" x14ac:dyDescent="0.2">
      <c r="A379" s="22"/>
      <c r="B379" s="16"/>
      <c r="C379" s="23"/>
      <c r="D379" s="2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8.75" customHeight="1" x14ac:dyDescent="0.2">
      <c r="A380" s="22"/>
      <c r="B380" s="16"/>
      <c r="C380" s="23"/>
      <c r="D380" s="2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8.75" customHeight="1" x14ac:dyDescent="0.2">
      <c r="A381" s="22"/>
      <c r="B381" s="16"/>
      <c r="C381" s="23"/>
      <c r="D381" s="2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8.75" customHeight="1" x14ac:dyDescent="0.2">
      <c r="A382" s="22"/>
      <c r="B382" s="16"/>
      <c r="C382" s="23"/>
      <c r="D382" s="2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8.75" customHeight="1" x14ac:dyDescent="0.2">
      <c r="A383" s="22"/>
      <c r="B383" s="16"/>
      <c r="C383" s="23"/>
      <c r="D383" s="2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8.75" customHeight="1" x14ac:dyDescent="0.2">
      <c r="A384" s="22"/>
      <c r="B384" s="16"/>
      <c r="C384" s="23"/>
      <c r="D384" s="2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8.75" customHeight="1" x14ac:dyDescent="0.2">
      <c r="A385" s="22"/>
      <c r="B385" s="16"/>
      <c r="C385" s="23"/>
      <c r="D385" s="2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8.75" customHeight="1" x14ac:dyDescent="0.2">
      <c r="A386" s="22"/>
      <c r="B386" s="16"/>
      <c r="C386" s="23"/>
      <c r="D386" s="2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8.75" customHeight="1" x14ac:dyDescent="0.2">
      <c r="A387" s="22"/>
      <c r="B387" s="16"/>
      <c r="C387" s="23"/>
      <c r="D387" s="2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8.75" customHeight="1" x14ac:dyDescent="0.2">
      <c r="A388" s="22"/>
      <c r="B388" s="16"/>
      <c r="C388" s="23"/>
      <c r="D388" s="2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8.75" customHeight="1" x14ac:dyDescent="0.2">
      <c r="A389" s="22"/>
      <c r="B389" s="16"/>
      <c r="C389" s="23"/>
      <c r="D389" s="2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8.75" customHeight="1" x14ac:dyDescent="0.2">
      <c r="A390" s="22"/>
      <c r="B390" s="16"/>
      <c r="C390" s="23"/>
      <c r="D390" s="2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8.75" customHeight="1" x14ac:dyDescent="0.2">
      <c r="A391" s="22"/>
      <c r="B391" s="16"/>
      <c r="C391" s="23"/>
      <c r="D391" s="2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8.75" customHeight="1" x14ac:dyDescent="0.2">
      <c r="A392" s="22"/>
      <c r="B392" s="16"/>
      <c r="C392" s="23"/>
      <c r="D392" s="2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8.75" customHeight="1" x14ac:dyDescent="0.2">
      <c r="A393" s="22"/>
      <c r="B393" s="16"/>
      <c r="C393" s="23"/>
      <c r="D393" s="2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8.75" customHeight="1" x14ac:dyDescent="0.2">
      <c r="A394" s="22"/>
      <c r="B394" s="16"/>
      <c r="C394" s="23"/>
      <c r="D394" s="2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8.75" customHeight="1" x14ac:dyDescent="0.2">
      <c r="A395" s="22"/>
      <c r="B395" s="16"/>
      <c r="C395" s="23"/>
      <c r="D395" s="2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8.75" customHeight="1" x14ac:dyDescent="0.2">
      <c r="A396" s="22"/>
      <c r="B396" s="16"/>
      <c r="C396" s="23"/>
      <c r="D396" s="2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8.75" customHeight="1" x14ac:dyDescent="0.2">
      <c r="A397" s="22"/>
      <c r="B397" s="16"/>
      <c r="C397" s="23"/>
      <c r="D397" s="2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8.75" customHeight="1" x14ac:dyDescent="0.2">
      <c r="A398" s="22"/>
      <c r="B398" s="16"/>
      <c r="C398" s="23"/>
      <c r="D398" s="2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8.75" customHeight="1" x14ac:dyDescent="0.2">
      <c r="A399" s="22"/>
      <c r="B399" s="16"/>
      <c r="C399" s="23"/>
      <c r="D399" s="2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8.75" customHeight="1" x14ac:dyDescent="0.2">
      <c r="A400" s="22"/>
      <c r="B400" s="16"/>
      <c r="C400" s="23"/>
      <c r="D400" s="2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8.75" customHeight="1" x14ac:dyDescent="0.2">
      <c r="A401" s="22"/>
      <c r="B401" s="16"/>
      <c r="C401" s="23"/>
      <c r="D401" s="24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8.75" customHeight="1" x14ac:dyDescent="0.2">
      <c r="A402" s="22"/>
      <c r="B402" s="16"/>
      <c r="C402" s="23"/>
      <c r="D402" s="24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8.75" customHeight="1" x14ac:dyDescent="0.2">
      <c r="A403" s="22"/>
      <c r="B403" s="16"/>
      <c r="C403" s="23"/>
      <c r="D403" s="2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8.75" customHeight="1" x14ac:dyDescent="0.2">
      <c r="A404" s="22"/>
      <c r="B404" s="16"/>
      <c r="C404" s="23"/>
      <c r="D404" s="24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8.75" customHeight="1" x14ac:dyDescent="0.2">
      <c r="A405" s="22"/>
      <c r="B405" s="16"/>
      <c r="C405" s="23"/>
      <c r="D405" s="24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8.75" customHeight="1" x14ac:dyDescent="0.2">
      <c r="A406" s="22"/>
      <c r="B406" s="16"/>
      <c r="C406" s="23"/>
      <c r="D406" s="2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8.75" customHeight="1" x14ac:dyDescent="0.2">
      <c r="A407" s="22"/>
      <c r="B407" s="16"/>
      <c r="C407" s="23"/>
      <c r="D407" s="24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8.75" customHeight="1" x14ac:dyDescent="0.2">
      <c r="A408" s="22"/>
      <c r="B408" s="16"/>
      <c r="C408" s="23"/>
      <c r="D408" s="24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8.75" customHeight="1" x14ac:dyDescent="0.2">
      <c r="A409" s="22"/>
      <c r="B409" s="16"/>
      <c r="C409" s="23"/>
      <c r="D409" s="24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8.75" customHeight="1" x14ac:dyDescent="0.2">
      <c r="A410" s="22"/>
      <c r="B410" s="16"/>
      <c r="C410" s="23"/>
      <c r="D410" s="24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8.75" customHeight="1" x14ac:dyDescent="0.2">
      <c r="A411" s="22"/>
      <c r="B411" s="16"/>
      <c r="C411" s="23"/>
      <c r="D411" s="24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8.75" customHeight="1" x14ac:dyDescent="0.2">
      <c r="A412" s="22"/>
      <c r="B412" s="16"/>
      <c r="C412" s="23"/>
      <c r="D412" s="24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8.75" customHeight="1" x14ac:dyDescent="0.2">
      <c r="A413" s="22"/>
      <c r="B413" s="16"/>
      <c r="C413" s="23"/>
      <c r="D413" s="24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8.75" customHeight="1" x14ac:dyDescent="0.2">
      <c r="A414" s="22"/>
      <c r="B414" s="16"/>
      <c r="C414" s="23"/>
      <c r="D414" s="24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8.75" customHeight="1" x14ac:dyDescent="0.2">
      <c r="A415" s="22"/>
      <c r="B415" s="16"/>
      <c r="C415" s="23"/>
      <c r="D415" s="24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8.75" customHeight="1" x14ac:dyDescent="0.2">
      <c r="A416" s="22"/>
      <c r="B416" s="16"/>
      <c r="C416" s="23"/>
      <c r="D416" s="24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8.75" customHeight="1" x14ac:dyDescent="0.2">
      <c r="A417" s="22"/>
      <c r="B417" s="16"/>
      <c r="C417" s="23"/>
      <c r="D417" s="24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8.75" customHeight="1" x14ac:dyDescent="0.2">
      <c r="A418" s="22"/>
      <c r="B418" s="16"/>
      <c r="C418" s="23"/>
      <c r="D418" s="24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8.75" customHeight="1" x14ac:dyDescent="0.2">
      <c r="A419" s="22"/>
      <c r="B419" s="16"/>
      <c r="C419" s="23"/>
      <c r="D419" s="24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8.75" customHeight="1" x14ac:dyDescent="0.2">
      <c r="A420" s="22"/>
      <c r="B420" s="16"/>
      <c r="C420" s="23"/>
      <c r="D420" s="24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8.75" customHeight="1" x14ac:dyDescent="0.2">
      <c r="A421" s="22"/>
      <c r="B421" s="16"/>
      <c r="C421" s="23"/>
      <c r="D421" s="24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8.75" customHeight="1" x14ac:dyDescent="0.2">
      <c r="A422" s="22"/>
      <c r="B422" s="16"/>
      <c r="C422" s="23"/>
      <c r="D422" s="24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8.75" customHeight="1" x14ac:dyDescent="0.2">
      <c r="A423" s="22"/>
      <c r="B423" s="16"/>
      <c r="C423" s="23"/>
      <c r="D423" s="2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8.75" customHeight="1" x14ac:dyDescent="0.2">
      <c r="A424" s="22"/>
      <c r="B424" s="16"/>
      <c r="C424" s="23"/>
      <c r="D424" s="2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8.75" customHeight="1" x14ac:dyDescent="0.2">
      <c r="A425" s="22"/>
      <c r="B425" s="16"/>
      <c r="C425" s="23"/>
      <c r="D425" s="2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8.75" customHeight="1" x14ac:dyDescent="0.2">
      <c r="A426" s="22"/>
      <c r="B426" s="16"/>
      <c r="C426" s="23"/>
      <c r="D426" s="24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8.75" customHeight="1" x14ac:dyDescent="0.2">
      <c r="A427" s="22"/>
      <c r="B427" s="16"/>
      <c r="C427" s="23"/>
      <c r="D427" s="24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8.75" customHeight="1" x14ac:dyDescent="0.2">
      <c r="A428" s="22"/>
      <c r="B428" s="16"/>
      <c r="C428" s="23"/>
      <c r="D428" s="24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8.75" customHeight="1" x14ac:dyDescent="0.2">
      <c r="A429" s="22"/>
      <c r="B429" s="16"/>
      <c r="C429" s="23"/>
      <c r="D429" s="24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8.75" customHeight="1" x14ac:dyDescent="0.2">
      <c r="A430" s="22"/>
      <c r="B430" s="16"/>
      <c r="C430" s="23"/>
      <c r="D430" s="24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8.75" customHeight="1" x14ac:dyDescent="0.2">
      <c r="A431" s="22"/>
      <c r="B431" s="16"/>
      <c r="C431" s="23"/>
      <c r="D431" s="24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8.75" customHeight="1" x14ac:dyDescent="0.2">
      <c r="A432" s="22"/>
      <c r="B432" s="16"/>
      <c r="C432" s="23"/>
      <c r="D432" s="24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8.75" customHeight="1" x14ac:dyDescent="0.2">
      <c r="A433" s="22"/>
      <c r="B433" s="16"/>
      <c r="C433" s="23"/>
      <c r="D433" s="24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8.75" customHeight="1" x14ac:dyDescent="0.2">
      <c r="A434" s="22"/>
      <c r="B434" s="16"/>
      <c r="C434" s="23"/>
      <c r="D434" s="24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8.75" customHeight="1" x14ac:dyDescent="0.2">
      <c r="A435" s="22"/>
      <c r="B435" s="16"/>
      <c r="C435" s="23"/>
      <c r="D435" s="24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8.75" customHeight="1" x14ac:dyDescent="0.2">
      <c r="A436" s="22"/>
      <c r="B436" s="16"/>
      <c r="C436" s="23"/>
      <c r="D436" s="24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8.75" customHeight="1" x14ac:dyDescent="0.2">
      <c r="A437" s="22"/>
      <c r="B437" s="16"/>
      <c r="C437" s="23"/>
      <c r="D437" s="24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8.75" customHeight="1" x14ac:dyDescent="0.2">
      <c r="A438" s="22"/>
      <c r="B438" s="16"/>
      <c r="C438" s="23"/>
      <c r="D438" s="24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8.75" customHeight="1" x14ac:dyDescent="0.2">
      <c r="A439" s="22"/>
      <c r="B439" s="16"/>
      <c r="C439" s="23"/>
      <c r="D439" s="2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8.75" customHeight="1" x14ac:dyDescent="0.2">
      <c r="A440" s="22"/>
      <c r="B440" s="16"/>
      <c r="C440" s="23"/>
      <c r="D440" s="24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8.75" customHeight="1" x14ac:dyDescent="0.2">
      <c r="A441" s="22"/>
      <c r="B441" s="16"/>
      <c r="C441" s="23"/>
      <c r="D441" s="24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8.75" customHeight="1" x14ac:dyDescent="0.2">
      <c r="A442" s="22"/>
      <c r="B442" s="16"/>
      <c r="C442" s="23"/>
      <c r="D442" s="24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8.75" customHeight="1" x14ac:dyDescent="0.2">
      <c r="A443" s="22"/>
      <c r="B443" s="16"/>
      <c r="C443" s="23"/>
      <c r="D443" s="24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8.75" customHeight="1" x14ac:dyDescent="0.2">
      <c r="A444" s="22"/>
      <c r="B444" s="16"/>
      <c r="C444" s="23"/>
      <c r="D444" s="24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8.75" customHeight="1" x14ac:dyDescent="0.2">
      <c r="A445" s="22"/>
      <c r="B445" s="16"/>
      <c r="C445" s="23"/>
      <c r="D445" s="24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8.75" customHeight="1" x14ac:dyDescent="0.2">
      <c r="A446" s="22"/>
      <c r="B446" s="16"/>
      <c r="C446" s="23"/>
      <c r="D446" s="24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8.75" customHeight="1" x14ac:dyDescent="0.2">
      <c r="A447" s="22"/>
      <c r="B447" s="16"/>
      <c r="C447" s="23"/>
      <c r="D447" s="24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8.75" customHeight="1" x14ac:dyDescent="0.2">
      <c r="A448" s="22"/>
      <c r="B448" s="16"/>
      <c r="C448" s="23"/>
      <c r="D448" s="2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8.75" customHeight="1" x14ac:dyDescent="0.2">
      <c r="A449" s="22"/>
      <c r="B449" s="16"/>
      <c r="C449" s="23"/>
      <c r="D449" s="24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8.75" customHeight="1" x14ac:dyDescent="0.2">
      <c r="A450" s="22"/>
      <c r="B450" s="16"/>
      <c r="C450" s="23"/>
      <c r="D450" s="24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8.75" customHeight="1" x14ac:dyDescent="0.2">
      <c r="A451" s="22"/>
      <c r="B451" s="16"/>
      <c r="C451" s="23"/>
      <c r="D451" s="24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8.75" customHeight="1" x14ac:dyDescent="0.2">
      <c r="A452" s="22"/>
      <c r="B452" s="16"/>
      <c r="C452" s="23"/>
      <c r="D452" s="24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8.75" customHeight="1" x14ac:dyDescent="0.2">
      <c r="A453" s="22"/>
      <c r="B453" s="16"/>
      <c r="C453" s="23"/>
      <c r="D453" s="24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8.75" customHeight="1" x14ac:dyDescent="0.2">
      <c r="A454" s="22"/>
      <c r="B454" s="16"/>
      <c r="C454" s="23"/>
      <c r="D454" s="24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8.75" customHeight="1" x14ac:dyDescent="0.2">
      <c r="A455" s="22"/>
      <c r="B455" s="16"/>
      <c r="C455" s="23"/>
      <c r="D455" s="24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8.75" customHeight="1" x14ac:dyDescent="0.2">
      <c r="A456" s="22"/>
      <c r="B456" s="16"/>
      <c r="C456" s="23"/>
      <c r="D456" s="24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8.75" customHeight="1" x14ac:dyDescent="0.2">
      <c r="A457" s="22"/>
      <c r="B457" s="16"/>
      <c r="C457" s="23"/>
      <c r="D457" s="24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8.75" customHeight="1" x14ac:dyDescent="0.2">
      <c r="A458" s="22"/>
      <c r="B458" s="16"/>
      <c r="C458" s="23"/>
      <c r="D458" s="24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8.75" customHeight="1" x14ac:dyDescent="0.2">
      <c r="A459" s="22"/>
      <c r="B459" s="16"/>
      <c r="C459" s="23"/>
      <c r="D459" s="24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8.75" customHeight="1" x14ac:dyDescent="0.2">
      <c r="A460" s="22"/>
      <c r="B460" s="16"/>
      <c r="C460" s="23"/>
      <c r="D460" s="24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8.75" customHeight="1" x14ac:dyDescent="0.2">
      <c r="A461" s="22"/>
      <c r="B461" s="16"/>
      <c r="C461" s="23"/>
      <c r="D461" s="24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8.75" customHeight="1" x14ac:dyDescent="0.2">
      <c r="A462" s="22"/>
      <c r="B462" s="16"/>
      <c r="C462" s="23"/>
      <c r="D462" s="24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8.75" customHeight="1" x14ac:dyDescent="0.2">
      <c r="A463" s="22"/>
      <c r="B463" s="16"/>
      <c r="C463" s="23"/>
      <c r="D463" s="24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8.75" customHeight="1" x14ac:dyDescent="0.2">
      <c r="A464" s="22"/>
      <c r="B464" s="16"/>
      <c r="C464" s="23"/>
      <c r="D464" s="24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8.75" customHeight="1" x14ac:dyDescent="0.2">
      <c r="A465" s="22"/>
      <c r="B465" s="16"/>
      <c r="C465" s="23"/>
      <c r="D465" s="24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8.75" customHeight="1" x14ac:dyDescent="0.2">
      <c r="A466" s="22"/>
      <c r="B466" s="16"/>
      <c r="C466" s="23"/>
      <c r="D466" s="24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8.75" customHeight="1" x14ac:dyDescent="0.2">
      <c r="A467" s="22"/>
      <c r="B467" s="16"/>
      <c r="C467" s="23"/>
      <c r="D467" s="24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8.75" customHeight="1" x14ac:dyDescent="0.2">
      <c r="A468" s="22"/>
      <c r="B468" s="16"/>
      <c r="C468" s="23"/>
      <c r="D468" s="24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8.75" customHeight="1" x14ac:dyDescent="0.2">
      <c r="A469" s="22"/>
      <c r="B469" s="16"/>
      <c r="C469" s="23"/>
      <c r="D469" s="24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8.75" customHeight="1" x14ac:dyDescent="0.2">
      <c r="A470" s="22"/>
      <c r="B470" s="16"/>
      <c r="C470" s="23"/>
      <c r="D470" s="24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8.75" customHeight="1" x14ac:dyDescent="0.2">
      <c r="A471" s="22"/>
      <c r="B471" s="16"/>
      <c r="C471" s="23"/>
      <c r="D471" s="24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8.75" customHeight="1" x14ac:dyDescent="0.2">
      <c r="A472" s="22"/>
      <c r="B472" s="16"/>
      <c r="C472" s="23"/>
      <c r="D472" s="24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8.75" customHeight="1" x14ac:dyDescent="0.2">
      <c r="A473" s="22"/>
      <c r="B473" s="16"/>
      <c r="C473" s="23"/>
      <c r="D473" s="24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8.75" customHeight="1" x14ac:dyDescent="0.2">
      <c r="A474" s="22"/>
      <c r="B474" s="16"/>
      <c r="C474" s="23"/>
      <c r="D474" s="24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8.75" customHeight="1" x14ac:dyDescent="0.2">
      <c r="A475" s="22"/>
      <c r="B475" s="16"/>
      <c r="C475" s="23"/>
      <c r="D475" s="24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8.75" customHeight="1" x14ac:dyDescent="0.2">
      <c r="A476" s="22"/>
      <c r="B476" s="16"/>
      <c r="C476" s="23"/>
      <c r="D476" s="24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8.75" customHeight="1" x14ac:dyDescent="0.2">
      <c r="A477" s="22"/>
      <c r="B477" s="16"/>
      <c r="C477" s="23"/>
      <c r="D477" s="2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8.75" customHeight="1" x14ac:dyDescent="0.2">
      <c r="A478" s="22"/>
      <c r="B478" s="16"/>
      <c r="C478" s="23"/>
      <c r="D478" s="2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8.75" customHeight="1" x14ac:dyDescent="0.2">
      <c r="A479" s="22"/>
      <c r="B479" s="16"/>
      <c r="C479" s="23"/>
      <c r="D479" s="2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8.75" customHeight="1" x14ac:dyDescent="0.2">
      <c r="A480" s="22"/>
      <c r="B480" s="16"/>
      <c r="C480" s="23"/>
      <c r="D480" s="24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8.75" customHeight="1" x14ac:dyDescent="0.2">
      <c r="A481" s="22"/>
      <c r="B481" s="16"/>
      <c r="C481" s="23"/>
      <c r="D481" s="24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8.75" customHeight="1" x14ac:dyDescent="0.2">
      <c r="A482" s="22"/>
      <c r="B482" s="16"/>
      <c r="C482" s="23"/>
      <c r="D482" s="24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8.75" customHeight="1" x14ac:dyDescent="0.2">
      <c r="A483" s="22"/>
      <c r="B483" s="16"/>
      <c r="C483" s="23"/>
      <c r="D483" s="24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8.75" customHeight="1" x14ac:dyDescent="0.2">
      <c r="A484" s="22"/>
      <c r="B484" s="16"/>
      <c r="C484" s="23"/>
      <c r="D484" s="24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8.75" customHeight="1" x14ac:dyDescent="0.2">
      <c r="A485" s="22"/>
      <c r="B485" s="16"/>
      <c r="C485" s="23"/>
      <c r="D485" s="24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8.75" customHeight="1" x14ac:dyDescent="0.2">
      <c r="A486" s="22"/>
      <c r="B486" s="16"/>
      <c r="C486" s="23"/>
      <c r="D486" s="24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8.75" customHeight="1" x14ac:dyDescent="0.2">
      <c r="A487" s="22"/>
      <c r="B487" s="16"/>
      <c r="C487" s="23"/>
      <c r="D487" s="24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8.75" customHeight="1" x14ac:dyDescent="0.2">
      <c r="A488" s="22"/>
      <c r="B488" s="16"/>
      <c r="C488" s="23"/>
      <c r="D488" s="24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8.75" customHeight="1" x14ac:dyDescent="0.2">
      <c r="A489" s="22"/>
      <c r="B489" s="16"/>
      <c r="C489" s="23"/>
      <c r="D489" s="24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8.75" customHeight="1" x14ac:dyDescent="0.2">
      <c r="A490" s="22"/>
      <c r="B490" s="16"/>
      <c r="C490" s="23"/>
      <c r="D490" s="24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8.75" customHeight="1" x14ac:dyDescent="0.2">
      <c r="A491" s="22"/>
      <c r="B491" s="16"/>
      <c r="C491" s="23"/>
      <c r="D491" s="24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8.75" customHeight="1" x14ac:dyDescent="0.2">
      <c r="A492" s="22"/>
      <c r="B492" s="16"/>
      <c r="C492" s="23"/>
      <c r="D492" s="24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8.75" customHeight="1" x14ac:dyDescent="0.2">
      <c r="A493" s="22"/>
      <c r="B493" s="16"/>
      <c r="C493" s="23"/>
      <c r="D493" s="24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8.75" customHeight="1" x14ac:dyDescent="0.2">
      <c r="A494" s="22"/>
      <c r="B494" s="16"/>
      <c r="C494" s="23"/>
      <c r="D494" s="24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8.75" customHeight="1" x14ac:dyDescent="0.2">
      <c r="A495" s="22"/>
      <c r="B495" s="16"/>
      <c r="C495" s="23"/>
      <c r="D495" s="24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8.75" customHeight="1" x14ac:dyDescent="0.2">
      <c r="A496" s="22"/>
      <c r="B496" s="16"/>
      <c r="C496" s="23"/>
      <c r="D496" s="24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8.75" customHeight="1" x14ac:dyDescent="0.2">
      <c r="A497" s="22"/>
      <c r="B497" s="16"/>
      <c r="C497" s="23"/>
      <c r="D497" s="24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8.75" customHeight="1" x14ac:dyDescent="0.2">
      <c r="A498" s="22"/>
      <c r="B498" s="16"/>
      <c r="C498" s="23"/>
      <c r="D498" s="24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8.75" customHeight="1" x14ac:dyDescent="0.2">
      <c r="A499" s="22"/>
      <c r="B499" s="16"/>
      <c r="C499" s="23"/>
      <c r="D499" s="24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8.75" customHeight="1" x14ac:dyDescent="0.2">
      <c r="A500" s="22"/>
      <c r="B500" s="16"/>
      <c r="C500" s="23"/>
      <c r="D500" s="24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8.75" customHeight="1" x14ac:dyDescent="0.2">
      <c r="A501" s="22"/>
      <c r="B501" s="16"/>
      <c r="C501" s="23"/>
      <c r="D501" s="24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8.75" customHeight="1" x14ac:dyDescent="0.2">
      <c r="A502" s="22"/>
      <c r="B502" s="16"/>
      <c r="C502" s="23"/>
      <c r="D502" s="2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8.75" customHeight="1" x14ac:dyDescent="0.2">
      <c r="A503" s="22"/>
      <c r="B503" s="16"/>
      <c r="C503" s="23"/>
      <c r="D503" s="24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8.75" customHeight="1" x14ac:dyDescent="0.2">
      <c r="A504" s="22"/>
      <c r="B504" s="16"/>
      <c r="C504" s="23"/>
      <c r="D504" s="24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8.75" customHeight="1" x14ac:dyDescent="0.2">
      <c r="A505" s="22"/>
      <c r="B505" s="16"/>
      <c r="C505" s="23"/>
      <c r="D505" s="2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8.75" customHeight="1" x14ac:dyDescent="0.2">
      <c r="A506" s="22"/>
      <c r="B506" s="16"/>
      <c r="C506" s="23"/>
      <c r="D506" s="24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8.75" customHeight="1" x14ac:dyDescent="0.2">
      <c r="A507" s="22"/>
      <c r="B507" s="16"/>
      <c r="C507" s="23"/>
      <c r="D507" s="24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8.75" customHeight="1" x14ac:dyDescent="0.2">
      <c r="A508" s="22"/>
      <c r="B508" s="16"/>
      <c r="C508" s="23"/>
      <c r="D508" s="24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8.75" customHeight="1" x14ac:dyDescent="0.2">
      <c r="A509" s="22"/>
      <c r="B509" s="16"/>
      <c r="C509" s="23"/>
      <c r="D509" s="24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8.75" customHeight="1" x14ac:dyDescent="0.2">
      <c r="A510" s="22"/>
      <c r="B510" s="16"/>
      <c r="C510" s="23"/>
      <c r="D510" s="24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8.75" customHeight="1" x14ac:dyDescent="0.2">
      <c r="A511" s="22"/>
      <c r="B511" s="16"/>
      <c r="C511" s="23"/>
      <c r="D511" s="24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8.75" customHeight="1" x14ac:dyDescent="0.2">
      <c r="A512" s="22"/>
      <c r="B512" s="16"/>
      <c r="C512" s="23"/>
      <c r="D512" s="24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8.75" customHeight="1" x14ac:dyDescent="0.2">
      <c r="A513" s="22"/>
      <c r="B513" s="16"/>
      <c r="C513" s="23"/>
      <c r="D513" s="24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8.75" customHeight="1" x14ac:dyDescent="0.2">
      <c r="A514" s="22"/>
      <c r="B514" s="16"/>
      <c r="C514" s="23"/>
      <c r="D514" s="24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8.75" customHeight="1" x14ac:dyDescent="0.2">
      <c r="A515" s="22"/>
      <c r="B515" s="16"/>
      <c r="C515" s="23"/>
      <c r="D515" s="24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8.75" customHeight="1" x14ac:dyDescent="0.2">
      <c r="A516" s="22"/>
      <c r="B516" s="16"/>
      <c r="C516" s="23"/>
      <c r="D516" s="24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8.75" customHeight="1" x14ac:dyDescent="0.2">
      <c r="A517" s="22"/>
      <c r="B517" s="16"/>
      <c r="C517" s="23"/>
      <c r="D517" s="24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8.75" customHeight="1" x14ac:dyDescent="0.2">
      <c r="A518" s="22"/>
      <c r="B518" s="16"/>
      <c r="C518" s="23"/>
      <c r="D518" s="24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8.75" customHeight="1" x14ac:dyDescent="0.2">
      <c r="A519" s="22"/>
      <c r="B519" s="16"/>
      <c r="C519" s="23"/>
      <c r="D519" s="24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8.75" customHeight="1" x14ac:dyDescent="0.2">
      <c r="A520" s="22"/>
      <c r="B520" s="16"/>
      <c r="C520" s="23"/>
      <c r="D520" s="24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8.75" customHeight="1" x14ac:dyDescent="0.2">
      <c r="A521" s="22"/>
      <c r="B521" s="16"/>
      <c r="C521" s="23"/>
      <c r="D521" s="24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8.75" customHeight="1" x14ac:dyDescent="0.2">
      <c r="A522" s="22"/>
      <c r="B522" s="16"/>
      <c r="C522" s="23"/>
      <c r="D522" s="24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8.75" customHeight="1" x14ac:dyDescent="0.2">
      <c r="A523" s="22"/>
      <c r="B523" s="16"/>
      <c r="C523" s="23"/>
      <c r="D523" s="24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8.75" customHeight="1" x14ac:dyDescent="0.2">
      <c r="A524" s="22"/>
      <c r="B524" s="16"/>
      <c r="C524" s="23"/>
      <c r="D524" s="2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8.75" customHeight="1" x14ac:dyDescent="0.2">
      <c r="A525" s="22"/>
      <c r="B525" s="16"/>
      <c r="C525" s="23"/>
      <c r="D525" s="24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8.75" customHeight="1" x14ac:dyDescent="0.2">
      <c r="A526" s="22"/>
      <c r="B526" s="16"/>
      <c r="C526" s="23"/>
      <c r="D526" s="24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8.75" customHeight="1" x14ac:dyDescent="0.2">
      <c r="A527" s="22"/>
      <c r="B527" s="16"/>
      <c r="C527" s="23"/>
      <c r="D527" s="24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8.75" customHeight="1" x14ac:dyDescent="0.2">
      <c r="A528" s="22"/>
      <c r="B528" s="16"/>
      <c r="C528" s="23"/>
      <c r="D528" s="24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8.75" customHeight="1" x14ac:dyDescent="0.2">
      <c r="A529" s="22"/>
      <c r="B529" s="16"/>
      <c r="C529" s="23"/>
      <c r="D529" s="24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8.75" customHeight="1" x14ac:dyDescent="0.2">
      <c r="A530" s="22"/>
      <c r="B530" s="16"/>
      <c r="C530" s="23"/>
      <c r="D530" s="2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8.75" customHeight="1" x14ac:dyDescent="0.2">
      <c r="A531" s="22"/>
      <c r="B531" s="16"/>
      <c r="C531" s="23"/>
      <c r="D531" s="2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8.75" customHeight="1" x14ac:dyDescent="0.2">
      <c r="A532" s="22"/>
      <c r="B532" s="16"/>
      <c r="C532" s="23"/>
      <c r="D532" s="2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8.75" customHeight="1" x14ac:dyDescent="0.2">
      <c r="A533" s="22"/>
      <c r="B533" s="16"/>
      <c r="C533" s="23"/>
      <c r="D533" s="2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8.75" customHeight="1" x14ac:dyDescent="0.2">
      <c r="A534" s="22"/>
      <c r="B534" s="16"/>
      <c r="C534" s="23"/>
      <c r="D534" s="24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8.75" customHeight="1" x14ac:dyDescent="0.2">
      <c r="A535" s="22"/>
      <c r="B535" s="16"/>
      <c r="C535" s="23"/>
      <c r="D535" s="24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8.75" customHeight="1" x14ac:dyDescent="0.2">
      <c r="A536" s="22"/>
      <c r="B536" s="16"/>
      <c r="C536" s="23"/>
      <c r="D536" s="24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8.75" customHeight="1" x14ac:dyDescent="0.2">
      <c r="A537" s="22"/>
      <c r="B537" s="16"/>
      <c r="C537" s="23"/>
      <c r="D537" s="24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8.75" customHeight="1" x14ac:dyDescent="0.2">
      <c r="A538" s="22"/>
      <c r="B538" s="16"/>
      <c r="C538" s="23"/>
      <c r="D538" s="2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8.75" customHeight="1" x14ac:dyDescent="0.2">
      <c r="A539" s="22"/>
      <c r="B539" s="16"/>
      <c r="C539" s="23"/>
      <c r="D539" s="24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8.75" customHeight="1" x14ac:dyDescent="0.2">
      <c r="A540" s="22"/>
      <c r="B540" s="16"/>
      <c r="C540" s="23"/>
      <c r="D540" s="24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8.75" customHeight="1" x14ac:dyDescent="0.2">
      <c r="A541" s="22"/>
      <c r="B541" s="16"/>
      <c r="C541" s="23"/>
      <c r="D541" s="24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8.75" customHeight="1" x14ac:dyDescent="0.2">
      <c r="A542" s="22"/>
      <c r="B542" s="16"/>
      <c r="C542" s="23"/>
      <c r="D542" s="24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8.75" customHeight="1" x14ac:dyDescent="0.2">
      <c r="A543" s="22"/>
      <c r="B543" s="16"/>
      <c r="C543" s="23"/>
      <c r="D543" s="24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8.75" customHeight="1" x14ac:dyDescent="0.2">
      <c r="A544" s="22"/>
      <c r="B544" s="16"/>
      <c r="C544" s="23"/>
      <c r="D544" s="24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8.75" customHeight="1" x14ac:dyDescent="0.2">
      <c r="A545" s="22"/>
      <c r="B545" s="16"/>
      <c r="C545" s="23"/>
      <c r="D545" s="24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8.75" customHeight="1" x14ac:dyDescent="0.2">
      <c r="A546" s="22"/>
      <c r="B546" s="16"/>
      <c r="C546" s="23"/>
      <c r="D546" s="24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8.75" customHeight="1" x14ac:dyDescent="0.2">
      <c r="A547" s="22"/>
      <c r="B547" s="16"/>
      <c r="C547" s="23"/>
      <c r="D547" s="2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8.75" customHeight="1" x14ac:dyDescent="0.2">
      <c r="A548" s="22"/>
      <c r="B548" s="16"/>
      <c r="C548" s="23"/>
      <c r="D548" s="24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8.75" customHeight="1" x14ac:dyDescent="0.2">
      <c r="A549" s="22"/>
      <c r="B549" s="16"/>
      <c r="C549" s="23"/>
      <c r="D549" s="24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8.75" customHeight="1" x14ac:dyDescent="0.2">
      <c r="A550" s="22"/>
      <c r="B550" s="16"/>
      <c r="C550" s="23"/>
      <c r="D550" s="24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8.75" customHeight="1" x14ac:dyDescent="0.2">
      <c r="A551" s="22"/>
      <c r="B551" s="16"/>
      <c r="C551" s="23"/>
      <c r="D551" s="24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8.75" customHeight="1" x14ac:dyDescent="0.2">
      <c r="A552" s="22"/>
      <c r="B552" s="16"/>
      <c r="C552" s="23"/>
      <c r="D552" s="24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8.75" customHeight="1" x14ac:dyDescent="0.2">
      <c r="A553" s="22"/>
      <c r="B553" s="16"/>
      <c r="C553" s="23"/>
      <c r="D553" s="24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8.75" customHeight="1" x14ac:dyDescent="0.2">
      <c r="A554" s="22"/>
      <c r="B554" s="16"/>
      <c r="C554" s="23"/>
      <c r="D554" s="24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8.75" customHeight="1" x14ac:dyDescent="0.2">
      <c r="A555" s="22"/>
      <c r="B555" s="16"/>
      <c r="C555" s="23"/>
      <c r="D555" s="24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8.75" customHeight="1" x14ac:dyDescent="0.2">
      <c r="A556" s="22"/>
      <c r="B556" s="16"/>
      <c r="C556" s="23"/>
      <c r="D556" s="24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8.75" customHeight="1" x14ac:dyDescent="0.2">
      <c r="A557" s="22"/>
      <c r="B557" s="16"/>
      <c r="C557" s="23"/>
      <c r="D557" s="24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8.75" customHeight="1" x14ac:dyDescent="0.2">
      <c r="A558" s="22"/>
      <c r="B558" s="16"/>
      <c r="C558" s="23"/>
      <c r="D558" s="24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8.75" customHeight="1" x14ac:dyDescent="0.2">
      <c r="A559" s="22"/>
      <c r="B559" s="16"/>
      <c r="C559" s="23"/>
      <c r="D559" s="24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8.75" customHeight="1" x14ac:dyDescent="0.2">
      <c r="A560" s="22"/>
      <c r="B560" s="16"/>
      <c r="C560" s="23"/>
      <c r="D560" s="24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8.75" customHeight="1" x14ac:dyDescent="0.2">
      <c r="A561" s="22"/>
      <c r="B561" s="16"/>
      <c r="C561" s="23"/>
      <c r="D561" s="24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8.75" customHeight="1" x14ac:dyDescent="0.2">
      <c r="A562" s="22"/>
      <c r="B562" s="16"/>
      <c r="C562" s="23"/>
      <c r="D562" s="24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8.75" customHeight="1" x14ac:dyDescent="0.2">
      <c r="A563" s="22"/>
      <c r="B563" s="16"/>
      <c r="C563" s="23"/>
      <c r="D563" s="24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8.75" customHeight="1" x14ac:dyDescent="0.2">
      <c r="A564" s="22"/>
      <c r="B564" s="16"/>
      <c r="C564" s="23"/>
      <c r="D564" s="24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8.75" customHeight="1" x14ac:dyDescent="0.2">
      <c r="A565" s="22"/>
      <c r="B565" s="16"/>
      <c r="C565" s="23"/>
      <c r="D565" s="24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8.75" customHeight="1" x14ac:dyDescent="0.2">
      <c r="A566" s="22"/>
      <c r="B566" s="16"/>
      <c r="C566" s="23"/>
      <c r="D566" s="24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8.75" customHeight="1" x14ac:dyDescent="0.2">
      <c r="A567" s="22"/>
      <c r="B567" s="16"/>
      <c r="C567" s="23"/>
      <c r="D567" s="24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8.75" customHeight="1" x14ac:dyDescent="0.2">
      <c r="A568" s="22"/>
      <c r="B568" s="16"/>
      <c r="C568" s="23"/>
      <c r="D568" s="24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8.75" customHeight="1" x14ac:dyDescent="0.2">
      <c r="A569" s="22"/>
      <c r="B569" s="16"/>
      <c r="C569" s="23"/>
      <c r="D569" s="24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8.75" customHeight="1" x14ac:dyDescent="0.2">
      <c r="A570" s="22"/>
      <c r="B570" s="16"/>
      <c r="C570" s="23"/>
      <c r="D570" s="24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8.75" customHeight="1" x14ac:dyDescent="0.2">
      <c r="A571" s="22"/>
      <c r="B571" s="16"/>
      <c r="C571" s="23"/>
      <c r="D571" s="24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8.75" customHeight="1" x14ac:dyDescent="0.2">
      <c r="A572" s="22"/>
      <c r="B572" s="16"/>
      <c r="C572" s="23"/>
      <c r="D572" s="24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8.75" customHeight="1" x14ac:dyDescent="0.2">
      <c r="A573" s="22"/>
      <c r="B573" s="16"/>
      <c r="C573" s="23"/>
      <c r="D573" s="24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8.75" customHeight="1" x14ac:dyDescent="0.2">
      <c r="A574" s="22"/>
      <c r="B574" s="16"/>
      <c r="C574" s="23"/>
      <c r="D574" s="24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8.75" customHeight="1" x14ac:dyDescent="0.2">
      <c r="A575" s="22"/>
      <c r="B575" s="16"/>
      <c r="C575" s="23"/>
      <c r="D575" s="24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8.75" customHeight="1" x14ac:dyDescent="0.2">
      <c r="A576" s="22"/>
      <c r="B576" s="16"/>
      <c r="C576" s="23"/>
      <c r="D576" s="24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8.75" customHeight="1" x14ac:dyDescent="0.2">
      <c r="A577" s="22"/>
      <c r="B577" s="16"/>
      <c r="C577" s="23"/>
      <c r="D577" s="24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8.75" customHeight="1" x14ac:dyDescent="0.2">
      <c r="A578" s="22"/>
      <c r="B578" s="16"/>
      <c r="C578" s="23"/>
      <c r="D578" s="24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8.75" customHeight="1" x14ac:dyDescent="0.2">
      <c r="A579" s="22"/>
      <c r="B579" s="16"/>
      <c r="C579" s="23"/>
      <c r="D579" s="24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8.75" customHeight="1" x14ac:dyDescent="0.2">
      <c r="A580" s="22"/>
      <c r="B580" s="16"/>
      <c r="C580" s="23"/>
      <c r="D580" s="24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8.75" customHeight="1" x14ac:dyDescent="0.2">
      <c r="A581" s="22"/>
      <c r="B581" s="16"/>
      <c r="C581" s="23"/>
      <c r="D581" s="24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8.75" customHeight="1" x14ac:dyDescent="0.2">
      <c r="A582" s="22"/>
      <c r="B582" s="16"/>
      <c r="C582" s="23"/>
      <c r="D582" s="24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8.75" customHeight="1" x14ac:dyDescent="0.2">
      <c r="A583" s="22"/>
      <c r="B583" s="16"/>
      <c r="C583" s="23"/>
      <c r="D583" s="24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8.75" customHeight="1" x14ac:dyDescent="0.2">
      <c r="A584" s="22"/>
      <c r="B584" s="16"/>
      <c r="C584" s="23"/>
      <c r="D584" s="24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8.75" customHeight="1" x14ac:dyDescent="0.2">
      <c r="A585" s="22"/>
      <c r="B585" s="16"/>
      <c r="C585" s="23"/>
      <c r="D585" s="24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8.75" customHeight="1" x14ac:dyDescent="0.2">
      <c r="A586" s="22"/>
      <c r="B586" s="16"/>
      <c r="C586" s="23"/>
      <c r="D586" s="24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8.75" customHeight="1" x14ac:dyDescent="0.2">
      <c r="A587" s="22"/>
      <c r="B587" s="16"/>
      <c r="C587" s="23"/>
      <c r="D587" s="24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8.75" customHeight="1" x14ac:dyDescent="0.2">
      <c r="A588" s="22"/>
      <c r="B588" s="16"/>
      <c r="C588" s="23"/>
      <c r="D588" s="24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8.75" customHeight="1" x14ac:dyDescent="0.2">
      <c r="A589" s="22"/>
      <c r="B589" s="16"/>
      <c r="C589" s="23"/>
      <c r="D589" s="24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8.75" customHeight="1" x14ac:dyDescent="0.2">
      <c r="A590" s="22"/>
      <c r="B590" s="16"/>
      <c r="C590" s="23"/>
      <c r="D590" s="24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8.75" customHeight="1" x14ac:dyDescent="0.2">
      <c r="A591" s="22"/>
      <c r="B591" s="16"/>
      <c r="C591" s="23"/>
      <c r="D591" s="24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8.75" customHeight="1" x14ac:dyDescent="0.2">
      <c r="A592" s="22"/>
      <c r="B592" s="16"/>
      <c r="C592" s="23"/>
      <c r="D592" s="24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8.75" customHeight="1" x14ac:dyDescent="0.2">
      <c r="A593" s="22"/>
      <c r="B593" s="16"/>
      <c r="C593" s="23"/>
      <c r="D593" s="24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8.75" customHeight="1" x14ac:dyDescent="0.2">
      <c r="A594" s="22"/>
      <c r="B594" s="16"/>
      <c r="C594" s="23"/>
      <c r="D594" s="24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8.75" customHeight="1" x14ac:dyDescent="0.2">
      <c r="A595" s="22"/>
      <c r="B595" s="16"/>
      <c r="C595" s="23"/>
      <c r="D595" s="24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8.75" customHeight="1" x14ac:dyDescent="0.2">
      <c r="A596" s="22"/>
      <c r="B596" s="16"/>
      <c r="C596" s="23"/>
      <c r="D596" s="24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8.75" customHeight="1" x14ac:dyDescent="0.2">
      <c r="A597" s="22"/>
      <c r="B597" s="16"/>
      <c r="C597" s="23"/>
      <c r="D597" s="24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8.75" customHeight="1" x14ac:dyDescent="0.2">
      <c r="A598" s="22"/>
      <c r="B598" s="16"/>
      <c r="C598" s="23"/>
      <c r="D598" s="24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8.75" customHeight="1" x14ac:dyDescent="0.2">
      <c r="A599" s="22"/>
      <c r="B599" s="16"/>
      <c r="C599" s="23"/>
      <c r="D599" s="24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8.75" customHeight="1" x14ac:dyDescent="0.2">
      <c r="A600" s="22"/>
      <c r="B600" s="16"/>
      <c r="C600" s="23"/>
      <c r="D600" s="24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8.75" customHeight="1" x14ac:dyDescent="0.2">
      <c r="A601" s="22"/>
      <c r="B601" s="16"/>
      <c r="C601" s="23"/>
      <c r="D601" s="2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8.75" customHeight="1" x14ac:dyDescent="0.2">
      <c r="A602" s="22"/>
      <c r="B602" s="16"/>
      <c r="C602" s="23"/>
      <c r="D602" s="24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8.75" customHeight="1" x14ac:dyDescent="0.2">
      <c r="A603" s="22"/>
      <c r="B603" s="16"/>
      <c r="C603" s="23"/>
      <c r="D603" s="24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8.75" customHeight="1" x14ac:dyDescent="0.2">
      <c r="A604" s="22"/>
      <c r="B604" s="16"/>
      <c r="C604" s="23"/>
      <c r="D604" s="24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8.75" customHeight="1" x14ac:dyDescent="0.2">
      <c r="A605" s="22"/>
      <c r="B605" s="16"/>
      <c r="C605" s="23"/>
      <c r="D605" s="24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8.75" customHeight="1" x14ac:dyDescent="0.2">
      <c r="A606" s="22"/>
      <c r="B606" s="16"/>
      <c r="C606" s="23"/>
      <c r="D606" s="24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8.75" customHeight="1" x14ac:dyDescent="0.2">
      <c r="A607" s="22"/>
      <c r="B607" s="16"/>
      <c r="C607" s="23"/>
      <c r="D607" s="24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8.75" customHeight="1" x14ac:dyDescent="0.2">
      <c r="A608" s="22"/>
      <c r="B608" s="16"/>
      <c r="C608" s="23"/>
      <c r="D608" s="24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8.75" customHeight="1" x14ac:dyDescent="0.2">
      <c r="A609" s="22"/>
      <c r="B609" s="16"/>
      <c r="C609" s="23"/>
      <c r="D609" s="24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8.75" customHeight="1" x14ac:dyDescent="0.2">
      <c r="A610" s="22"/>
      <c r="B610" s="16"/>
      <c r="C610" s="23"/>
      <c r="D610" s="24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8.75" customHeight="1" x14ac:dyDescent="0.2">
      <c r="A611" s="22"/>
      <c r="B611" s="16"/>
      <c r="C611" s="23"/>
      <c r="D611" s="24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8.75" customHeight="1" x14ac:dyDescent="0.2">
      <c r="A612" s="22"/>
      <c r="B612" s="16"/>
      <c r="C612" s="23"/>
      <c r="D612" s="24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8.75" customHeight="1" x14ac:dyDescent="0.2">
      <c r="A613" s="22"/>
      <c r="B613" s="16"/>
      <c r="C613" s="23"/>
      <c r="D613" s="24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8.75" customHeight="1" x14ac:dyDescent="0.2">
      <c r="A614" s="22"/>
      <c r="B614" s="16"/>
      <c r="C614" s="23"/>
      <c r="D614" s="24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8.75" customHeight="1" x14ac:dyDescent="0.2">
      <c r="A615" s="22"/>
      <c r="B615" s="16"/>
      <c r="C615" s="23"/>
      <c r="D615" s="24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8.75" customHeight="1" x14ac:dyDescent="0.2">
      <c r="A616" s="22"/>
      <c r="B616" s="16"/>
      <c r="C616" s="23"/>
      <c r="D616" s="24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8.75" customHeight="1" x14ac:dyDescent="0.2">
      <c r="A617" s="22"/>
      <c r="B617" s="16"/>
      <c r="C617" s="23"/>
      <c r="D617" s="24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8.75" customHeight="1" x14ac:dyDescent="0.2">
      <c r="A618" s="22"/>
      <c r="B618" s="16"/>
      <c r="C618" s="23"/>
      <c r="D618" s="24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8.75" customHeight="1" x14ac:dyDescent="0.2">
      <c r="A619" s="22"/>
      <c r="B619" s="16"/>
      <c r="C619" s="23"/>
      <c r="D619" s="24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8.75" customHeight="1" x14ac:dyDescent="0.2">
      <c r="A620" s="22"/>
      <c r="B620" s="16"/>
      <c r="C620" s="23"/>
      <c r="D620" s="24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8.75" customHeight="1" x14ac:dyDescent="0.2">
      <c r="A621" s="22"/>
      <c r="B621" s="16"/>
      <c r="C621" s="23"/>
      <c r="D621" s="24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8.75" customHeight="1" x14ac:dyDescent="0.2">
      <c r="A622" s="22"/>
      <c r="B622" s="16"/>
      <c r="C622" s="23"/>
      <c r="D622" s="24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8.75" customHeight="1" x14ac:dyDescent="0.2">
      <c r="A623" s="22"/>
      <c r="B623" s="16"/>
      <c r="C623" s="23"/>
      <c r="D623" s="24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8.75" customHeight="1" x14ac:dyDescent="0.2">
      <c r="A624" s="22"/>
      <c r="B624" s="16"/>
      <c r="C624" s="23"/>
      <c r="D624" s="24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8.75" customHeight="1" x14ac:dyDescent="0.2">
      <c r="A625" s="22"/>
      <c r="B625" s="16"/>
      <c r="C625" s="23"/>
      <c r="D625" s="24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8.75" customHeight="1" x14ac:dyDescent="0.2">
      <c r="A626" s="22"/>
      <c r="B626" s="16"/>
      <c r="C626" s="23"/>
      <c r="D626" s="24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8.75" customHeight="1" x14ac:dyDescent="0.2">
      <c r="A627" s="22"/>
      <c r="B627" s="16"/>
      <c r="C627" s="23"/>
      <c r="D627" s="24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8.75" customHeight="1" x14ac:dyDescent="0.2">
      <c r="A628" s="22"/>
      <c r="B628" s="16"/>
      <c r="C628" s="23"/>
      <c r="D628" s="24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8.75" customHeight="1" x14ac:dyDescent="0.2">
      <c r="A629" s="22"/>
      <c r="B629" s="16"/>
      <c r="C629" s="23"/>
      <c r="D629" s="24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8.75" customHeight="1" x14ac:dyDescent="0.2">
      <c r="A630" s="22"/>
      <c r="B630" s="16"/>
      <c r="C630" s="23"/>
      <c r="D630" s="24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8.75" customHeight="1" x14ac:dyDescent="0.2">
      <c r="A631" s="22"/>
      <c r="B631" s="16"/>
      <c r="C631" s="23"/>
      <c r="D631" s="24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8.75" customHeight="1" x14ac:dyDescent="0.2">
      <c r="A632" s="22"/>
      <c r="B632" s="16"/>
      <c r="C632" s="23"/>
      <c r="D632" s="24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8.75" customHeight="1" x14ac:dyDescent="0.2">
      <c r="A633" s="22"/>
      <c r="B633" s="16"/>
      <c r="C633" s="23"/>
      <c r="D633" s="24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8.75" customHeight="1" x14ac:dyDescent="0.2">
      <c r="A634" s="22"/>
      <c r="B634" s="16"/>
      <c r="C634" s="23"/>
      <c r="D634" s="24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8.75" customHeight="1" x14ac:dyDescent="0.2">
      <c r="A635" s="22"/>
      <c r="B635" s="16"/>
      <c r="C635" s="23"/>
      <c r="D635" s="24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8.75" customHeight="1" x14ac:dyDescent="0.2">
      <c r="A636" s="22"/>
      <c r="B636" s="16"/>
      <c r="C636" s="23"/>
      <c r="D636" s="24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8.75" customHeight="1" x14ac:dyDescent="0.2">
      <c r="A637" s="22"/>
      <c r="B637" s="16"/>
      <c r="C637" s="23"/>
      <c r="D637" s="24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8.75" customHeight="1" x14ac:dyDescent="0.2">
      <c r="A638" s="22"/>
      <c r="B638" s="16"/>
      <c r="C638" s="23"/>
      <c r="D638" s="24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8.75" customHeight="1" x14ac:dyDescent="0.2">
      <c r="A639" s="22"/>
      <c r="B639" s="16"/>
      <c r="C639" s="23"/>
      <c r="D639" s="24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8.75" customHeight="1" x14ac:dyDescent="0.2">
      <c r="A640" s="22"/>
      <c r="B640" s="16"/>
      <c r="C640" s="23"/>
      <c r="D640" s="24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8.75" customHeight="1" x14ac:dyDescent="0.2">
      <c r="A641" s="22"/>
      <c r="B641" s="16"/>
      <c r="C641" s="23"/>
      <c r="D641" s="24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8.75" customHeight="1" x14ac:dyDescent="0.2">
      <c r="A642" s="22"/>
      <c r="B642" s="16"/>
      <c r="C642" s="23"/>
      <c r="D642" s="24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8.75" customHeight="1" x14ac:dyDescent="0.2">
      <c r="A643" s="22"/>
      <c r="B643" s="16"/>
      <c r="C643" s="23"/>
      <c r="D643" s="24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8.75" customHeight="1" x14ac:dyDescent="0.2">
      <c r="A644" s="22"/>
      <c r="B644" s="16"/>
      <c r="C644" s="23"/>
      <c r="D644" s="24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8.75" customHeight="1" x14ac:dyDescent="0.2">
      <c r="A645" s="22"/>
      <c r="B645" s="16"/>
      <c r="C645" s="23"/>
      <c r="D645" s="24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8.75" customHeight="1" x14ac:dyDescent="0.2">
      <c r="A646" s="22"/>
      <c r="B646" s="16"/>
      <c r="C646" s="23"/>
      <c r="D646" s="24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8.75" customHeight="1" x14ac:dyDescent="0.2">
      <c r="A647" s="22"/>
      <c r="B647" s="16"/>
      <c r="C647" s="23"/>
      <c r="D647" s="24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8.75" customHeight="1" x14ac:dyDescent="0.2">
      <c r="A648" s="22"/>
      <c r="B648" s="16"/>
      <c r="C648" s="23"/>
      <c r="D648" s="24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8.75" customHeight="1" x14ac:dyDescent="0.2">
      <c r="A649" s="22"/>
      <c r="B649" s="16"/>
      <c r="C649" s="23"/>
      <c r="D649" s="24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8.75" customHeight="1" x14ac:dyDescent="0.2">
      <c r="A650" s="22"/>
      <c r="B650" s="16"/>
      <c r="C650" s="23"/>
      <c r="D650" s="24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8.75" customHeight="1" x14ac:dyDescent="0.2">
      <c r="A651" s="22"/>
      <c r="B651" s="16"/>
      <c r="C651" s="23"/>
      <c r="D651" s="24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8.75" customHeight="1" x14ac:dyDescent="0.2">
      <c r="A652" s="22"/>
      <c r="B652" s="16"/>
      <c r="C652" s="23"/>
      <c r="D652" s="24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8.75" customHeight="1" x14ac:dyDescent="0.2">
      <c r="A653" s="22"/>
      <c r="B653" s="16"/>
      <c r="C653" s="23"/>
      <c r="D653" s="24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8.75" customHeight="1" x14ac:dyDescent="0.2">
      <c r="A654" s="22"/>
      <c r="B654" s="16"/>
      <c r="C654" s="23"/>
      <c r="D654" s="24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8.75" customHeight="1" x14ac:dyDescent="0.2">
      <c r="A655" s="22"/>
      <c r="B655" s="16"/>
      <c r="C655" s="23"/>
      <c r="D655" s="24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8.75" customHeight="1" x14ac:dyDescent="0.2">
      <c r="A656" s="22"/>
      <c r="B656" s="16"/>
      <c r="C656" s="23"/>
      <c r="D656" s="24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8.75" customHeight="1" x14ac:dyDescent="0.2">
      <c r="A657" s="22"/>
      <c r="B657" s="16"/>
      <c r="C657" s="23"/>
      <c r="D657" s="24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8.75" customHeight="1" x14ac:dyDescent="0.2">
      <c r="A658" s="22"/>
      <c r="B658" s="16"/>
      <c r="C658" s="23"/>
      <c r="D658" s="24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8.75" customHeight="1" x14ac:dyDescent="0.2">
      <c r="A659" s="22"/>
      <c r="B659" s="16"/>
      <c r="C659" s="23"/>
      <c r="D659" s="24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8.75" customHeight="1" x14ac:dyDescent="0.2">
      <c r="A660" s="22"/>
      <c r="B660" s="16"/>
      <c r="C660" s="23"/>
      <c r="D660" s="24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8.75" customHeight="1" x14ac:dyDescent="0.2">
      <c r="A661" s="22"/>
      <c r="B661" s="16"/>
      <c r="C661" s="23"/>
      <c r="D661" s="24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8.75" customHeight="1" x14ac:dyDescent="0.2">
      <c r="A662" s="22"/>
      <c r="B662" s="16"/>
      <c r="C662" s="23"/>
      <c r="D662" s="24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8.75" customHeight="1" x14ac:dyDescent="0.2">
      <c r="A663" s="22"/>
      <c r="B663" s="16"/>
      <c r="C663" s="23"/>
      <c r="D663" s="24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8.75" customHeight="1" x14ac:dyDescent="0.2">
      <c r="A664" s="22"/>
      <c r="B664" s="16"/>
      <c r="C664" s="23"/>
      <c r="D664" s="24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8.75" customHeight="1" x14ac:dyDescent="0.2">
      <c r="A665" s="22"/>
      <c r="B665" s="16"/>
      <c r="C665" s="23"/>
      <c r="D665" s="24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8.75" customHeight="1" x14ac:dyDescent="0.2">
      <c r="A666" s="22"/>
      <c r="B666" s="16"/>
      <c r="C666" s="23"/>
      <c r="D666" s="24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8.75" customHeight="1" x14ac:dyDescent="0.2">
      <c r="A667" s="22"/>
      <c r="B667" s="16"/>
      <c r="C667" s="23"/>
      <c r="D667" s="24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8.75" customHeight="1" x14ac:dyDescent="0.2">
      <c r="A668" s="22"/>
      <c r="B668" s="16"/>
      <c r="C668" s="23"/>
      <c r="D668" s="24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8.75" customHeight="1" x14ac:dyDescent="0.2">
      <c r="A669" s="22"/>
      <c r="B669" s="16"/>
      <c r="C669" s="23"/>
      <c r="D669" s="24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8.75" customHeight="1" x14ac:dyDescent="0.2">
      <c r="A670" s="22"/>
      <c r="B670" s="16"/>
      <c r="C670" s="23"/>
      <c r="D670" s="24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8.75" customHeight="1" x14ac:dyDescent="0.2">
      <c r="A671" s="22"/>
      <c r="B671" s="16"/>
      <c r="C671" s="23"/>
      <c r="D671" s="24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8.75" customHeight="1" x14ac:dyDescent="0.2">
      <c r="A672" s="22"/>
      <c r="B672" s="16"/>
      <c r="C672" s="23"/>
      <c r="D672" s="24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8.75" customHeight="1" x14ac:dyDescent="0.2">
      <c r="A673" s="22"/>
      <c r="B673" s="16"/>
      <c r="C673" s="23"/>
      <c r="D673" s="24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8.75" customHeight="1" x14ac:dyDescent="0.2">
      <c r="A674" s="22"/>
      <c r="B674" s="16"/>
      <c r="C674" s="23"/>
      <c r="D674" s="24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8.75" customHeight="1" x14ac:dyDescent="0.2">
      <c r="A675" s="22"/>
      <c r="B675" s="16"/>
      <c r="C675" s="23"/>
      <c r="D675" s="24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8.75" customHeight="1" x14ac:dyDescent="0.2">
      <c r="A676" s="22"/>
      <c r="B676" s="16"/>
      <c r="C676" s="23"/>
      <c r="D676" s="24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8.75" customHeight="1" x14ac:dyDescent="0.2">
      <c r="A677" s="22"/>
      <c r="B677" s="16"/>
      <c r="C677" s="23"/>
      <c r="D677" s="24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8.75" customHeight="1" x14ac:dyDescent="0.2">
      <c r="A678" s="22"/>
      <c r="B678" s="16"/>
      <c r="C678" s="23"/>
      <c r="D678" s="24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8.75" customHeight="1" x14ac:dyDescent="0.2">
      <c r="A679" s="22"/>
      <c r="B679" s="16"/>
      <c r="C679" s="23"/>
      <c r="D679" s="24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8.75" customHeight="1" x14ac:dyDescent="0.2">
      <c r="A680" s="22"/>
      <c r="B680" s="16"/>
      <c r="C680" s="23"/>
      <c r="D680" s="24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8.75" customHeight="1" x14ac:dyDescent="0.2">
      <c r="A681" s="22"/>
      <c r="B681" s="16"/>
      <c r="C681" s="23"/>
      <c r="D681" s="24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8.75" customHeight="1" x14ac:dyDescent="0.2">
      <c r="A682" s="22"/>
      <c r="B682" s="16"/>
      <c r="C682" s="23"/>
      <c r="D682" s="24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8.75" customHeight="1" x14ac:dyDescent="0.2">
      <c r="A683" s="22"/>
      <c r="B683" s="16"/>
      <c r="C683" s="23"/>
      <c r="D683" s="24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8.75" customHeight="1" x14ac:dyDescent="0.2">
      <c r="A684" s="22"/>
      <c r="B684" s="16"/>
      <c r="C684" s="23"/>
      <c r="D684" s="24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8.75" customHeight="1" x14ac:dyDescent="0.2">
      <c r="A685" s="22"/>
      <c r="B685" s="16"/>
      <c r="C685" s="23"/>
      <c r="D685" s="24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8.75" customHeight="1" x14ac:dyDescent="0.2">
      <c r="A686" s="22"/>
      <c r="B686" s="16"/>
      <c r="C686" s="23"/>
      <c r="D686" s="24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8.75" customHeight="1" x14ac:dyDescent="0.2">
      <c r="A687" s="22"/>
      <c r="B687" s="16"/>
      <c r="C687" s="23"/>
      <c r="D687" s="24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8.75" customHeight="1" x14ac:dyDescent="0.2">
      <c r="A688" s="22"/>
      <c r="B688" s="16"/>
      <c r="C688" s="23"/>
      <c r="D688" s="24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8.75" customHeight="1" x14ac:dyDescent="0.2">
      <c r="A689" s="22"/>
      <c r="B689" s="16"/>
      <c r="C689" s="23"/>
      <c r="D689" s="24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8.75" customHeight="1" x14ac:dyDescent="0.2">
      <c r="A690" s="22"/>
      <c r="B690" s="16"/>
      <c r="C690" s="23"/>
      <c r="D690" s="24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8.75" customHeight="1" x14ac:dyDescent="0.2">
      <c r="A691" s="22"/>
      <c r="B691" s="16"/>
      <c r="C691" s="23"/>
      <c r="D691" s="24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8.75" customHeight="1" x14ac:dyDescent="0.2">
      <c r="A692" s="22"/>
      <c r="B692" s="16"/>
      <c r="C692" s="23"/>
      <c r="D692" s="24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8.75" customHeight="1" x14ac:dyDescent="0.2">
      <c r="A693" s="22"/>
      <c r="B693" s="16"/>
      <c r="C693" s="23"/>
      <c r="D693" s="24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8.75" customHeight="1" x14ac:dyDescent="0.2">
      <c r="A694" s="22"/>
      <c r="B694" s="16"/>
      <c r="C694" s="23"/>
      <c r="D694" s="24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8.75" customHeight="1" x14ac:dyDescent="0.2">
      <c r="A695" s="22"/>
      <c r="B695" s="16"/>
      <c r="C695" s="23"/>
      <c r="D695" s="24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8.75" customHeight="1" x14ac:dyDescent="0.2">
      <c r="A696" s="22"/>
      <c r="B696" s="16"/>
      <c r="C696" s="23"/>
      <c r="D696" s="24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8.75" customHeight="1" x14ac:dyDescent="0.2">
      <c r="A697" s="22"/>
      <c r="B697" s="16"/>
      <c r="C697" s="23"/>
      <c r="D697" s="24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8.75" customHeight="1" x14ac:dyDescent="0.2">
      <c r="A698" s="22"/>
      <c r="B698" s="16"/>
      <c r="C698" s="23"/>
      <c r="D698" s="24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8.75" customHeight="1" x14ac:dyDescent="0.2">
      <c r="A699" s="22"/>
      <c r="B699" s="16"/>
      <c r="C699" s="23"/>
      <c r="D699" s="24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8.75" customHeight="1" x14ac:dyDescent="0.2">
      <c r="A700" s="22"/>
      <c r="B700" s="16"/>
      <c r="C700" s="23"/>
      <c r="D700" s="24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8.75" customHeight="1" x14ac:dyDescent="0.2">
      <c r="A701" s="22"/>
      <c r="B701" s="16"/>
      <c r="C701" s="23"/>
      <c r="D701" s="24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8.75" customHeight="1" x14ac:dyDescent="0.2">
      <c r="A702" s="22"/>
      <c r="B702" s="16"/>
      <c r="C702" s="23"/>
      <c r="D702" s="24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8.75" customHeight="1" x14ac:dyDescent="0.2">
      <c r="A703" s="22"/>
      <c r="B703" s="16"/>
      <c r="C703" s="23"/>
      <c r="D703" s="24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8.75" customHeight="1" x14ac:dyDescent="0.2">
      <c r="A704" s="22"/>
      <c r="B704" s="16"/>
      <c r="C704" s="23"/>
      <c r="D704" s="24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8.75" customHeight="1" x14ac:dyDescent="0.2">
      <c r="A705" s="22"/>
      <c r="B705" s="16"/>
      <c r="C705" s="23"/>
      <c r="D705" s="24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8.75" customHeight="1" x14ac:dyDescent="0.2">
      <c r="A706" s="22"/>
      <c r="B706" s="16"/>
      <c r="C706" s="23"/>
      <c r="D706" s="24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8.75" customHeight="1" x14ac:dyDescent="0.2">
      <c r="A707" s="22"/>
      <c r="B707" s="16"/>
      <c r="C707" s="23"/>
      <c r="D707" s="24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8.75" customHeight="1" x14ac:dyDescent="0.2">
      <c r="A708" s="22"/>
      <c r="B708" s="16"/>
      <c r="C708" s="23"/>
      <c r="D708" s="24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8.75" customHeight="1" x14ac:dyDescent="0.2">
      <c r="A709" s="22"/>
      <c r="B709" s="16"/>
      <c r="C709" s="23"/>
      <c r="D709" s="24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8.75" customHeight="1" x14ac:dyDescent="0.2">
      <c r="A710" s="22"/>
      <c r="B710" s="16"/>
      <c r="C710" s="23"/>
      <c r="D710" s="24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8.75" customHeight="1" x14ac:dyDescent="0.2">
      <c r="A711" s="22"/>
      <c r="B711" s="16"/>
      <c r="C711" s="23"/>
      <c r="D711" s="24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8.75" customHeight="1" x14ac:dyDescent="0.2">
      <c r="A712" s="22"/>
      <c r="B712" s="16"/>
      <c r="C712" s="23"/>
      <c r="D712" s="24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8.75" customHeight="1" x14ac:dyDescent="0.2">
      <c r="A713" s="22"/>
      <c r="B713" s="16"/>
      <c r="C713" s="23"/>
      <c r="D713" s="24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8.75" customHeight="1" x14ac:dyDescent="0.2">
      <c r="A714" s="22"/>
      <c r="B714" s="16"/>
      <c r="C714" s="23"/>
      <c r="D714" s="24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8.75" customHeight="1" x14ac:dyDescent="0.2">
      <c r="A715" s="22"/>
      <c r="B715" s="16"/>
      <c r="C715" s="23"/>
      <c r="D715" s="24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8.75" customHeight="1" x14ac:dyDescent="0.2">
      <c r="A716" s="22"/>
      <c r="B716" s="16"/>
      <c r="C716" s="23"/>
      <c r="D716" s="24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8.75" customHeight="1" x14ac:dyDescent="0.2">
      <c r="A717" s="22"/>
      <c r="B717" s="16"/>
      <c r="C717" s="23"/>
      <c r="D717" s="24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8.75" customHeight="1" x14ac:dyDescent="0.2">
      <c r="A718" s="22"/>
      <c r="B718" s="16"/>
      <c r="C718" s="23"/>
      <c r="D718" s="24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8.75" customHeight="1" x14ac:dyDescent="0.2">
      <c r="A719" s="22"/>
      <c r="B719" s="16"/>
      <c r="C719" s="23"/>
      <c r="D719" s="24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8.75" customHeight="1" x14ac:dyDescent="0.2">
      <c r="A720" s="22"/>
      <c r="B720" s="16"/>
      <c r="C720" s="23"/>
      <c r="D720" s="24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8.75" customHeight="1" x14ac:dyDescent="0.2">
      <c r="A721" s="22"/>
      <c r="B721" s="16"/>
      <c r="C721" s="23"/>
      <c r="D721" s="24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8.75" customHeight="1" x14ac:dyDescent="0.2">
      <c r="A722" s="22"/>
      <c r="B722" s="16"/>
      <c r="C722" s="23"/>
      <c r="D722" s="24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8.75" customHeight="1" x14ac:dyDescent="0.2">
      <c r="A723" s="22"/>
      <c r="B723" s="16"/>
      <c r="C723" s="23"/>
      <c r="D723" s="24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8.75" customHeight="1" x14ac:dyDescent="0.2">
      <c r="A724" s="22"/>
      <c r="B724" s="16"/>
      <c r="C724" s="23"/>
      <c r="D724" s="24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8.75" customHeight="1" x14ac:dyDescent="0.2">
      <c r="A725" s="22"/>
      <c r="B725" s="16"/>
      <c r="C725" s="23"/>
      <c r="D725" s="24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8.75" customHeight="1" x14ac:dyDescent="0.2">
      <c r="A726" s="22"/>
      <c r="B726" s="16"/>
      <c r="C726" s="23"/>
      <c r="D726" s="24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8.75" customHeight="1" x14ac:dyDescent="0.2">
      <c r="A727" s="22"/>
      <c r="B727" s="16"/>
      <c r="C727" s="23"/>
      <c r="D727" s="24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8.75" customHeight="1" x14ac:dyDescent="0.2">
      <c r="A728" s="22"/>
      <c r="B728" s="16"/>
      <c r="C728" s="23"/>
      <c r="D728" s="24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8.75" customHeight="1" x14ac:dyDescent="0.2">
      <c r="A729" s="22"/>
      <c r="B729" s="16"/>
      <c r="C729" s="23"/>
      <c r="D729" s="24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8.75" customHeight="1" x14ac:dyDescent="0.2">
      <c r="A730" s="22"/>
      <c r="B730" s="16"/>
      <c r="C730" s="23"/>
      <c r="D730" s="24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8.75" customHeight="1" x14ac:dyDescent="0.2">
      <c r="A731" s="22"/>
      <c r="B731" s="16"/>
      <c r="C731" s="23"/>
      <c r="D731" s="24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8.75" customHeight="1" x14ac:dyDescent="0.2">
      <c r="A732" s="22"/>
      <c r="B732" s="16"/>
      <c r="C732" s="23"/>
      <c r="D732" s="24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8.75" customHeight="1" x14ac:dyDescent="0.2">
      <c r="A733" s="22"/>
      <c r="B733" s="16"/>
      <c r="C733" s="23"/>
      <c r="D733" s="24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8.75" customHeight="1" x14ac:dyDescent="0.2">
      <c r="A734" s="22"/>
      <c r="B734" s="16"/>
      <c r="C734" s="23"/>
      <c r="D734" s="24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8.75" customHeight="1" x14ac:dyDescent="0.2">
      <c r="A735" s="22"/>
      <c r="B735" s="16"/>
      <c r="C735" s="23"/>
      <c r="D735" s="24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8.75" customHeight="1" x14ac:dyDescent="0.2">
      <c r="A736" s="22"/>
      <c r="B736" s="16"/>
      <c r="C736" s="23"/>
      <c r="D736" s="24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8.75" customHeight="1" x14ac:dyDescent="0.2">
      <c r="A737" s="22"/>
      <c r="B737" s="16"/>
      <c r="C737" s="23"/>
      <c r="D737" s="24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8.75" customHeight="1" x14ac:dyDescent="0.2">
      <c r="A738" s="22"/>
      <c r="B738" s="16"/>
      <c r="C738" s="23"/>
      <c r="D738" s="24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8.75" customHeight="1" x14ac:dyDescent="0.2">
      <c r="A739" s="22"/>
      <c r="B739" s="16"/>
      <c r="C739" s="23"/>
      <c r="D739" s="24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8.75" customHeight="1" x14ac:dyDescent="0.2">
      <c r="A740" s="22"/>
      <c r="B740" s="16"/>
      <c r="C740" s="23"/>
      <c r="D740" s="24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8.75" customHeight="1" x14ac:dyDescent="0.2">
      <c r="A741" s="22"/>
      <c r="B741" s="16"/>
      <c r="C741" s="23"/>
      <c r="D741" s="24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8.75" customHeight="1" x14ac:dyDescent="0.2">
      <c r="A742" s="22"/>
      <c r="B742" s="16"/>
      <c r="C742" s="23"/>
      <c r="D742" s="24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8.75" customHeight="1" x14ac:dyDescent="0.2">
      <c r="A743" s="22"/>
      <c r="B743" s="16"/>
      <c r="C743" s="23"/>
      <c r="D743" s="24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8.75" customHeight="1" x14ac:dyDescent="0.2">
      <c r="A744" s="22"/>
      <c r="B744" s="16"/>
      <c r="C744" s="23"/>
      <c r="D744" s="24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8.75" customHeight="1" x14ac:dyDescent="0.2">
      <c r="A745" s="22"/>
      <c r="B745" s="16"/>
      <c r="C745" s="23"/>
      <c r="D745" s="24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8.75" customHeight="1" x14ac:dyDescent="0.2">
      <c r="A746" s="22"/>
      <c r="B746" s="16"/>
      <c r="C746" s="23"/>
      <c r="D746" s="24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8.75" customHeight="1" x14ac:dyDescent="0.2">
      <c r="A747" s="22"/>
      <c r="B747" s="16"/>
      <c r="C747" s="23"/>
      <c r="D747" s="24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8.75" customHeight="1" x14ac:dyDescent="0.2">
      <c r="A748" s="22"/>
      <c r="B748" s="16"/>
      <c r="C748" s="23"/>
      <c r="D748" s="24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8.75" customHeight="1" x14ac:dyDescent="0.2">
      <c r="A749" s="22"/>
      <c r="B749" s="16"/>
      <c r="C749" s="23"/>
      <c r="D749" s="24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8.75" customHeight="1" x14ac:dyDescent="0.2">
      <c r="A750" s="22"/>
      <c r="B750" s="16"/>
      <c r="C750" s="23"/>
      <c r="D750" s="24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8.75" customHeight="1" x14ac:dyDescent="0.2">
      <c r="A751" s="22"/>
      <c r="B751" s="16"/>
      <c r="C751" s="23"/>
      <c r="D751" s="24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8.75" customHeight="1" x14ac:dyDescent="0.2">
      <c r="A752" s="22"/>
      <c r="B752" s="16"/>
      <c r="C752" s="23"/>
      <c r="D752" s="24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8.75" customHeight="1" x14ac:dyDescent="0.2">
      <c r="A753" s="22"/>
      <c r="B753" s="16"/>
      <c r="C753" s="23"/>
      <c r="D753" s="24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8.75" customHeight="1" x14ac:dyDescent="0.2">
      <c r="A754" s="22"/>
      <c r="B754" s="16"/>
      <c r="C754" s="23"/>
      <c r="D754" s="24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8.75" customHeight="1" x14ac:dyDescent="0.2">
      <c r="A755" s="22"/>
      <c r="B755" s="16"/>
      <c r="C755" s="23"/>
      <c r="D755" s="24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8.75" customHeight="1" x14ac:dyDescent="0.2">
      <c r="A756" s="22"/>
      <c r="B756" s="16"/>
      <c r="C756" s="23"/>
      <c r="D756" s="24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8.75" customHeight="1" x14ac:dyDescent="0.2">
      <c r="A757" s="22"/>
      <c r="B757" s="16"/>
      <c r="C757" s="23"/>
      <c r="D757" s="24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8.75" customHeight="1" x14ac:dyDescent="0.2">
      <c r="A758" s="22"/>
      <c r="B758" s="16"/>
      <c r="C758" s="23"/>
      <c r="D758" s="24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8.75" customHeight="1" x14ac:dyDescent="0.2">
      <c r="A759" s="22"/>
      <c r="B759" s="16"/>
      <c r="C759" s="23"/>
      <c r="D759" s="24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8.75" customHeight="1" x14ac:dyDescent="0.2">
      <c r="A760" s="22"/>
      <c r="B760" s="16"/>
      <c r="C760" s="23"/>
      <c r="D760" s="24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8.75" customHeight="1" x14ac:dyDescent="0.2">
      <c r="A761" s="22"/>
      <c r="B761" s="16"/>
      <c r="C761" s="23"/>
      <c r="D761" s="24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8.75" customHeight="1" x14ac:dyDescent="0.2">
      <c r="A762" s="22"/>
      <c r="B762" s="16"/>
      <c r="C762" s="23"/>
      <c r="D762" s="24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8.75" customHeight="1" x14ac:dyDescent="0.2">
      <c r="A763" s="22"/>
      <c r="B763" s="16"/>
      <c r="C763" s="23"/>
      <c r="D763" s="24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8.75" customHeight="1" x14ac:dyDescent="0.2">
      <c r="A764" s="22"/>
      <c r="B764" s="16"/>
      <c r="C764" s="23"/>
      <c r="D764" s="24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8.75" customHeight="1" x14ac:dyDescent="0.2">
      <c r="A765" s="22"/>
      <c r="B765" s="16"/>
      <c r="C765" s="23"/>
      <c r="D765" s="24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8.75" customHeight="1" x14ac:dyDescent="0.2">
      <c r="A766" s="22"/>
      <c r="B766" s="16"/>
      <c r="C766" s="23"/>
      <c r="D766" s="24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8.75" customHeight="1" x14ac:dyDescent="0.2">
      <c r="A767" s="22"/>
      <c r="B767" s="16"/>
      <c r="C767" s="23"/>
      <c r="D767" s="24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8.75" customHeight="1" x14ac:dyDescent="0.2">
      <c r="A768" s="22"/>
      <c r="B768" s="16"/>
      <c r="C768" s="23"/>
      <c r="D768" s="24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8.75" customHeight="1" x14ac:dyDescent="0.2">
      <c r="A769" s="22"/>
      <c r="B769" s="16"/>
      <c r="C769" s="23"/>
      <c r="D769" s="24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8.75" customHeight="1" x14ac:dyDescent="0.2">
      <c r="A770" s="22"/>
      <c r="B770" s="16"/>
      <c r="C770" s="23"/>
      <c r="D770" s="24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8.75" customHeight="1" x14ac:dyDescent="0.2">
      <c r="A771" s="22"/>
      <c r="B771" s="16"/>
      <c r="C771" s="23"/>
      <c r="D771" s="24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8.75" customHeight="1" x14ac:dyDescent="0.2">
      <c r="A772" s="22"/>
      <c r="B772" s="16"/>
      <c r="C772" s="23"/>
      <c r="D772" s="24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8.75" customHeight="1" x14ac:dyDescent="0.2">
      <c r="A773" s="22"/>
      <c r="B773" s="16"/>
      <c r="C773" s="23"/>
      <c r="D773" s="24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8.75" customHeight="1" x14ac:dyDescent="0.2">
      <c r="A774" s="22"/>
      <c r="B774" s="16"/>
      <c r="C774" s="23"/>
      <c r="D774" s="24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8.75" customHeight="1" x14ac:dyDescent="0.2">
      <c r="A775" s="22"/>
      <c r="B775" s="16"/>
      <c r="C775" s="23"/>
      <c r="D775" s="24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8.75" customHeight="1" x14ac:dyDescent="0.2">
      <c r="A776" s="22"/>
      <c r="B776" s="16"/>
      <c r="C776" s="23"/>
      <c r="D776" s="24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8.75" customHeight="1" x14ac:dyDescent="0.2">
      <c r="A777" s="22"/>
      <c r="B777" s="16"/>
      <c r="C777" s="23"/>
      <c r="D777" s="24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8.75" customHeight="1" x14ac:dyDescent="0.2">
      <c r="A778" s="22"/>
      <c r="B778" s="16"/>
      <c r="C778" s="23"/>
      <c r="D778" s="24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8.75" customHeight="1" x14ac:dyDescent="0.2">
      <c r="A779" s="22"/>
      <c r="B779" s="16"/>
      <c r="C779" s="23"/>
      <c r="D779" s="24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8.75" customHeight="1" x14ac:dyDescent="0.2">
      <c r="A780" s="22"/>
      <c r="B780" s="16"/>
      <c r="C780" s="23"/>
      <c r="D780" s="24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8.75" customHeight="1" x14ac:dyDescent="0.2">
      <c r="A781" s="22"/>
      <c r="B781" s="16"/>
      <c r="C781" s="23"/>
      <c r="D781" s="24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8.75" customHeight="1" x14ac:dyDescent="0.2">
      <c r="A782" s="22"/>
      <c r="B782" s="16"/>
      <c r="C782" s="23"/>
      <c r="D782" s="24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8.75" customHeight="1" x14ac:dyDescent="0.2">
      <c r="A783" s="22"/>
      <c r="B783" s="16"/>
      <c r="C783" s="23"/>
      <c r="D783" s="24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8.75" customHeight="1" x14ac:dyDescent="0.2">
      <c r="A784" s="22"/>
      <c r="B784" s="16"/>
      <c r="C784" s="23"/>
      <c r="D784" s="24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8.75" customHeight="1" x14ac:dyDescent="0.2">
      <c r="A785" s="22"/>
      <c r="B785" s="16"/>
      <c r="C785" s="23"/>
      <c r="D785" s="24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8.75" customHeight="1" x14ac:dyDescent="0.2">
      <c r="A786" s="22"/>
      <c r="B786" s="16"/>
      <c r="C786" s="23"/>
      <c r="D786" s="24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8.75" customHeight="1" x14ac:dyDescent="0.2">
      <c r="A787" s="22"/>
      <c r="B787" s="16"/>
      <c r="C787" s="23"/>
      <c r="D787" s="24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8.75" customHeight="1" x14ac:dyDescent="0.2">
      <c r="A788" s="22"/>
      <c r="B788" s="16"/>
      <c r="C788" s="23"/>
      <c r="D788" s="24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8.75" customHeight="1" x14ac:dyDescent="0.2">
      <c r="A789" s="22"/>
      <c r="B789" s="16"/>
      <c r="C789" s="23"/>
      <c r="D789" s="24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8.75" customHeight="1" x14ac:dyDescent="0.2">
      <c r="A790" s="22"/>
      <c r="B790" s="16"/>
      <c r="C790" s="23"/>
      <c r="D790" s="24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8.75" customHeight="1" x14ac:dyDescent="0.2">
      <c r="A791" s="22"/>
      <c r="B791" s="16"/>
      <c r="C791" s="23"/>
      <c r="D791" s="24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8.75" customHeight="1" x14ac:dyDescent="0.2">
      <c r="A792" s="22"/>
      <c r="B792" s="16"/>
      <c r="C792" s="23"/>
      <c r="D792" s="24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8.75" customHeight="1" x14ac:dyDescent="0.2">
      <c r="A793" s="22"/>
      <c r="B793" s="16"/>
      <c r="C793" s="23"/>
      <c r="D793" s="24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8.75" customHeight="1" x14ac:dyDescent="0.2">
      <c r="A794" s="22"/>
      <c r="B794" s="16"/>
      <c r="C794" s="23"/>
      <c r="D794" s="24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8.75" customHeight="1" x14ac:dyDescent="0.2">
      <c r="A795" s="22"/>
      <c r="B795" s="16"/>
      <c r="C795" s="23"/>
      <c r="D795" s="24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8.75" customHeight="1" x14ac:dyDescent="0.2">
      <c r="A796" s="22"/>
      <c r="B796" s="16"/>
      <c r="C796" s="23"/>
      <c r="D796" s="24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8.75" customHeight="1" x14ac:dyDescent="0.2">
      <c r="A797" s="22"/>
      <c r="B797" s="16"/>
      <c r="C797" s="23"/>
      <c r="D797" s="24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8.75" customHeight="1" x14ac:dyDescent="0.2">
      <c r="A798" s="22"/>
      <c r="B798" s="16"/>
      <c r="C798" s="23"/>
      <c r="D798" s="24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8.75" customHeight="1" x14ac:dyDescent="0.2">
      <c r="A799" s="22"/>
      <c r="B799" s="16"/>
      <c r="C799" s="23"/>
      <c r="D799" s="24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8.75" customHeight="1" x14ac:dyDescent="0.2">
      <c r="A800" s="22"/>
      <c r="B800" s="16"/>
      <c r="C800" s="23"/>
      <c r="D800" s="24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8.75" customHeight="1" x14ac:dyDescent="0.2">
      <c r="A801" s="22"/>
      <c r="B801" s="16"/>
      <c r="C801" s="23"/>
      <c r="D801" s="24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8.75" customHeight="1" x14ac:dyDescent="0.2">
      <c r="A802" s="22"/>
      <c r="B802" s="16"/>
      <c r="C802" s="23"/>
      <c r="D802" s="24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8.75" customHeight="1" x14ac:dyDescent="0.2">
      <c r="A803" s="22"/>
      <c r="B803" s="16"/>
      <c r="C803" s="23"/>
      <c r="D803" s="24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8.75" customHeight="1" x14ac:dyDescent="0.2">
      <c r="A804" s="22"/>
      <c r="B804" s="16"/>
      <c r="C804" s="23"/>
      <c r="D804" s="24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8.75" customHeight="1" x14ac:dyDescent="0.2">
      <c r="A805" s="22"/>
      <c r="B805" s="16"/>
      <c r="C805" s="23"/>
      <c r="D805" s="24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8.75" customHeight="1" x14ac:dyDescent="0.2">
      <c r="A806" s="22"/>
      <c r="B806" s="16"/>
      <c r="C806" s="23"/>
      <c r="D806" s="24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8.75" customHeight="1" x14ac:dyDescent="0.2">
      <c r="A807" s="22"/>
      <c r="B807" s="16"/>
      <c r="C807" s="23"/>
      <c r="D807" s="24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8.75" customHeight="1" x14ac:dyDescent="0.2">
      <c r="A808" s="22"/>
      <c r="B808" s="16"/>
      <c r="C808" s="23"/>
      <c r="D808" s="24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8.75" customHeight="1" x14ac:dyDescent="0.2">
      <c r="A809" s="22"/>
      <c r="B809" s="16"/>
      <c r="C809" s="23"/>
      <c r="D809" s="24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8.75" customHeight="1" x14ac:dyDescent="0.2">
      <c r="A810" s="22"/>
      <c r="B810" s="16"/>
      <c r="C810" s="23"/>
      <c r="D810" s="24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8.75" customHeight="1" x14ac:dyDescent="0.2">
      <c r="A811" s="22"/>
      <c r="B811" s="16"/>
      <c r="C811" s="23"/>
      <c r="D811" s="24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8.75" customHeight="1" x14ac:dyDescent="0.2">
      <c r="A812" s="22"/>
      <c r="B812" s="16"/>
      <c r="C812" s="23"/>
      <c r="D812" s="24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8.75" customHeight="1" x14ac:dyDescent="0.2">
      <c r="A813" s="22"/>
      <c r="B813" s="16"/>
      <c r="C813" s="23"/>
      <c r="D813" s="24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8.75" customHeight="1" x14ac:dyDescent="0.2">
      <c r="A814" s="22"/>
      <c r="B814" s="16"/>
      <c r="C814" s="23"/>
      <c r="D814" s="24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8.75" customHeight="1" x14ac:dyDescent="0.2">
      <c r="A815" s="22"/>
      <c r="B815" s="16"/>
      <c r="C815" s="23"/>
      <c r="D815" s="24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8.75" customHeight="1" x14ac:dyDescent="0.2">
      <c r="A816" s="22"/>
      <c r="B816" s="16"/>
      <c r="C816" s="23"/>
      <c r="D816" s="24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8.75" customHeight="1" x14ac:dyDescent="0.2">
      <c r="A817" s="22"/>
      <c r="B817" s="16"/>
      <c r="C817" s="23"/>
      <c r="D817" s="24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8.75" customHeight="1" x14ac:dyDescent="0.2">
      <c r="A818" s="22"/>
      <c r="B818" s="16"/>
      <c r="C818" s="23"/>
      <c r="D818" s="24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8.75" customHeight="1" x14ac:dyDescent="0.2">
      <c r="A819" s="22"/>
      <c r="B819" s="16"/>
      <c r="C819" s="23"/>
      <c r="D819" s="24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8.75" customHeight="1" x14ac:dyDescent="0.2">
      <c r="A820" s="22"/>
      <c r="B820" s="16"/>
      <c r="C820" s="23"/>
      <c r="D820" s="24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8.75" customHeight="1" x14ac:dyDescent="0.2">
      <c r="A821" s="22"/>
      <c r="B821" s="16"/>
      <c r="C821" s="23"/>
      <c r="D821" s="24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8.75" customHeight="1" x14ac:dyDescent="0.2">
      <c r="A822" s="22"/>
      <c r="B822" s="16"/>
      <c r="C822" s="23"/>
      <c r="D822" s="24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8.75" customHeight="1" x14ac:dyDescent="0.2">
      <c r="A823" s="22"/>
      <c r="B823" s="16"/>
      <c r="C823" s="23"/>
      <c r="D823" s="24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8.75" customHeight="1" x14ac:dyDescent="0.2">
      <c r="A824" s="22"/>
      <c r="B824" s="16"/>
      <c r="C824" s="23"/>
      <c r="D824" s="24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8.75" customHeight="1" x14ac:dyDescent="0.2">
      <c r="A825" s="22"/>
      <c r="B825" s="16"/>
      <c r="C825" s="23"/>
      <c r="D825" s="24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8.75" customHeight="1" x14ac:dyDescent="0.2">
      <c r="A826" s="22"/>
      <c r="B826" s="16"/>
      <c r="C826" s="23"/>
      <c r="D826" s="24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8.75" customHeight="1" x14ac:dyDescent="0.2">
      <c r="A827" s="22"/>
      <c r="B827" s="16"/>
      <c r="C827" s="23"/>
      <c r="D827" s="24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8.75" customHeight="1" x14ac:dyDescent="0.2">
      <c r="A828" s="22"/>
      <c r="B828" s="16"/>
      <c r="C828" s="23"/>
      <c r="D828" s="24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8.75" customHeight="1" x14ac:dyDescent="0.2">
      <c r="A829" s="22"/>
      <c r="B829" s="16"/>
      <c r="C829" s="23"/>
      <c r="D829" s="24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8.75" customHeight="1" x14ac:dyDescent="0.2">
      <c r="A830" s="22"/>
      <c r="B830" s="16"/>
      <c r="C830" s="23"/>
      <c r="D830" s="24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8.75" customHeight="1" x14ac:dyDescent="0.2">
      <c r="A831" s="22"/>
      <c r="B831" s="16"/>
      <c r="C831" s="23"/>
      <c r="D831" s="24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8.75" customHeight="1" x14ac:dyDescent="0.2">
      <c r="A832" s="22"/>
      <c r="B832" s="16"/>
      <c r="C832" s="23"/>
      <c r="D832" s="24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8.75" customHeight="1" x14ac:dyDescent="0.2">
      <c r="A833" s="22"/>
      <c r="B833" s="16"/>
      <c r="C833" s="23"/>
      <c r="D833" s="24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8.75" customHeight="1" x14ac:dyDescent="0.2">
      <c r="A834" s="22"/>
      <c r="B834" s="16"/>
      <c r="C834" s="23"/>
      <c r="D834" s="24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8.75" customHeight="1" x14ac:dyDescent="0.2">
      <c r="A835" s="22"/>
      <c r="B835" s="16"/>
      <c r="C835" s="23"/>
      <c r="D835" s="24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8.75" customHeight="1" x14ac:dyDescent="0.2">
      <c r="A836" s="22"/>
      <c r="B836" s="16"/>
      <c r="C836" s="23"/>
      <c r="D836" s="24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8.75" customHeight="1" x14ac:dyDescent="0.2">
      <c r="A837" s="22"/>
      <c r="B837" s="16"/>
      <c r="C837" s="23"/>
      <c r="D837" s="24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8.75" customHeight="1" x14ac:dyDescent="0.2">
      <c r="A838" s="22"/>
      <c r="B838" s="16"/>
      <c r="C838" s="23"/>
      <c r="D838" s="24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8.75" customHeight="1" x14ac:dyDescent="0.2">
      <c r="A839" s="22"/>
      <c r="B839" s="16"/>
      <c r="C839" s="23"/>
      <c r="D839" s="24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8.75" customHeight="1" x14ac:dyDescent="0.2">
      <c r="A840" s="22"/>
      <c r="B840" s="16"/>
      <c r="C840" s="23"/>
      <c r="D840" s="24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8.75" customHeight="1" x14ac:dyDescent="0.2">
      <c r="A841" s="22"/>
      <c r="B841" s="16"/>
      <c r="C841" s="23"/>
      <c r="D841" s="24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8.75" customHeight="1" x14ac:dyDescent="0.2">
      <c r="A842" s="22"/>
      <c r="B842" s="16"/>
      <c r="C842" s="23"/>
      <c r="D842" s="24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8.75" customHeight="1" x14ac:dyDescent="0.2">
      <c r="A843" s="22"/>
      <c r="B843" s="16"/>
      <c r="C843" s="23"/>
      <c r="D843" s="24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8.75" customHeight="1" x14ac:dyDescent="0.2">
      <c r="A844" s="22"/>
      <c r="B844" s="16"/>
      <c r="C844" s="23"/>
      <c r="D844" s="24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8.75" customHeight="1" x14ac:dyDescent="0.2">
      <c r="A845" s="22"/>
      <c r="B845" s="16"/>
      <c r="C845" s="23"/>
      <c r="D845" s="24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8.75" customHeight="1" x14ac:dyDescent="0.2">
      <c r="A846" s="22"/>
      <c r="B846" s="16"/>
      <c r="C846" s="23"/>
      <c r="D846" s="24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8.75" customHeight="1" x14ac:dyDescent="0.2">
      <c r="A847" s="22"/>
      <c r="B847" s="16"/>
      <c r="C847" s="23"/>
      <c r="D847" s="24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8.75" customHeight="1" x14ac:dyDescent="0.2">
      <c r="A848" s="22"/>
      <c r="B848" s="16"/>
      <c r="C848" s="23"/>
      <c r="D848" s="24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8.75" customHeight="1" x14ac:dyDescent="0.2">
      <c r="A849" s="22"/>
      <c r="B849" s="16"/>
      <c r="C849" s="23"/>
      <c r="D849" s="24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8.75" customHeight="1" x14ac:dyDescent="0.2">
      <c r="A850" s="22"/>
      <c r="B850" s="16"/>
      <c r="C850" s="23"/>
      <c r="D850" s="24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8.75" customHeight="1" x14ac:dyDescent="0.2">
      <c r="A851" s="22"/>
      <c r="B851" s="16"/>
      <c r="C851" s="23"/>
      <c r="D851" s="24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8.75" customHeight="1" x14ac:dyDescent="0.2">
      <c r="A852" s="22"/>
      <c r="B852" s="16"/>
      <c r="C852" s="23"/>
      <c r="D852" s="24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8.75" customHeight="1" x14ac:dyDescent="0.2">
      <c r="A853" s="22"/>
      <c r="B853" s="16"/>
      <c r="C853" s="23"/>
      <c r="D853" s="24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8.75" customHeight="1" x14ac:dyDescent="0.2">
      <c r="A854" s="22"/>
      <c r="B854" s="16"/>
      <c r="C854" s="23"/>
      <c r="D854" s="24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8.75" customHeight="1" x14ac:dyDescent="0.2">
      <c r="A855" s="22"/>
      <c r="B855" s="16"/>
      <c r="C855" s="23"/>
      <c r="D855" s="24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8.75" customHeight="1" x14ac:dyDescent="0.2">
      <c r="A856" s="22"/>
      <c r="B856" s="16"/>
      <c r="C856" s="23"/>
      <c r="D856" s="24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8.75" customHeight="1" x14ac:dyDescent="0.2">
      <c r="A857" s="22"/>
      <c r="B857" s="16"/>
      <c r="C857" s="23"/>
      <c r="D857" s="24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8.75" customHeight="1" x14ac:dyDescent="0.2">
      <c r="A858" s="22"/>
      <c r="B858" s="16"/>
      <c r="C858" s="23"/>
      <c r="D858" s="24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8.75" customHeight="1" x14ac:dyDescent="0.2">
      <c r="A859" s="22"/>
      <c r="B859" s="16"/>
      <c r="C859" s="23"/>
      <c r="D859" s="24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8.75" customHeight="1" x14ac:dyDescent="0.2">
      <c r="A860" s="22"/>
      <c r="B860" s="16"/>
      <c r="C860" s="23"/>
      <c r="D860" s="24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8.75" customHeight="1" x14ac:dyDescent="0.2">
      <c r="A861" s="22"/>
      <c r="B861" s="16"/>
      <c r="C861" s="23"/>
      <c r="D861" s="24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8.75" customHeight="1" x14ac:dyDescent="0.2">
      <c r="A862" s="22"/>
      <c r="B862" s="16"/>
      <c r="C862" s="23"/>
      <c r="D862" s="24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8.75" customHeight="1" x14ac:dyDescent="0.2">
      <c r="A863" s="22"/>
      <c r="B863" s="16"/>
      <c r="C863" s="23"/>
      <c r="D863" s="24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8.75" customHeight="1" x14ac:dyDescent="0.2">
      <c r="A864" s="22"/>
      <c r="B864" s="16"/>
      <c r="C864" s="23"/>
      <c r="D864" s="24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8.75" customHeight="1" x14ac:dyDescent="0.2">
      <c r="A865" s="22"/>
      <c r="B865" s="16"/>
      <c r="C865" s="23"/>
      <c r="D865" s="24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8.75" customHeight="1" x14ac:dyDescent="0.2">
      <c r="A866" s="22"/>
      <c r="B866" s="16"/>
      <c r="C866" s="23"/>
      <c r="D866" s="24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8.75" customHeight="1" x14ac:dyDescent="0.2">
      <c r="A867" s="22"/>
      <c r="B867" s="16"/>
      <c r="C867" s="23"/>
      <c r="D867" s="24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8.75" customHeight="1" x14ac:dyDescent="0.2">
      <c r="A868" s="22"/>
      <c r="B868" s="16"/>
      <c r="C868" s="23"/>
      <c r="D868" s="24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8.75" customHeight="1" x14ac:dyDescent="0.2">
      <c r="A869" s="22"/>
      <c r="B869" s="16"/>
      <c r="C869" s="23"/>
      <c r="D869" s="24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8.75" customHeight="1" x14ac:dyDescent="0.2">
      <c r="A870" s="22"/>
      <c r="B870" s="16"/>
      <c r="C870" s="23"/>
      <c r="D870" s="24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8.75" customHeight="1" x14ac:dyDescent="0.2">
      <c r="A871" s="22"/>
      <c r="B871" s="16"/>
      <c r="C871" s="23"/>
      <c r="D871" s="24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8.75" customHeight="1" x14ac:dyDescent="0.2">
      <c r="A872" s="22"/>
      <c r="B872" s="16"/>
      <c r="C872" s="23"/>
      <c r="D872" s="24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8.75" customHeight="1" x14ac:dyDescent="0.2">
      <c r="A873" s="22"/>
      <c r="B873" s="16"/>
      <c r="C873" s="23"/>
      <c r="D873" s="24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8.75" customHeight="1" x14ac:dyDescent="0.2">
      <c r="A874" s="22"/>
      <c r="B874" s="16"/>
      <c r="C874" s="23"/>
      <c r="D874" s="24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8.75" customHeight="1" x14ac:dyDescent="0.2">
      <c r="A875" s="22"/>
      <c r="B875" s="16"/>
      <c r="C875" s="23"/>
      <c r="D875" s="24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8.75" customHeight="1" x14ac:dyDescent="0.2">
      <c r="A876" s="22"/>
      <c r="B876" s="16"/>
      <c r="C876" s="23"/>
      <c r="D876" s="24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8.75" customHeight="1" x14ac:dyDescent="0.2">
      <c r="A877" s="22"/>
      <c r="B877" s="16"/>
      <c r="C877" s="23"/>
      <c r="D877" s="24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8.75" customHeight="1" x14ac:dyDescent="0.2">
      <c r="A878" s="22"/>
      <c r="B878" s="16"/>
      <c r="C878" s="23"/>
      <c r="D878" s="24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8.75" customHeight="1" x14ac:dyDescent="0.2">
      <c r="A879" s="22"/>
      <c r="B879" s="16"/>
      <c r="C879" s="23"/>
      <c r="D879" s="24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8.75" customHeight="1" x14ac:dyDescent="0.2">
      <c r="A880" s="22"/>
      <c r="B880" s="16"/>
      <c r="C880" s="23"/>
      <c r="D880" s="24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8.75" customHeight="1" x14ac:dyDescent="0.2">
      <c r="A881" s="22"/>
      <c r="B881" s="16"/>
      <c r="C881" s="23"/>
      <c r="D881" s="24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8.75" customHeight="1" x14ac:dyDescent="0.2">
      <c r="A882" s="22"/>
      <c r="B882" s="16"/>
      <c r="C882" s="23"/>
      <c r="D882" s="24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8.75" customHeight="1" x14ac:dyDescent="0.2">
      <c r="A883" s="22"/>
      <c r="B883" s="16"/>
      <c r="C883" s="23"/>
      <c r="D883" s="24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8.75" customHeight="1" x14ac:dyDescent="0.2">
      <c r="A884" s="22"/>
      <c r="B884" s="16"/>
      <c r="C884" s="23"/>
      <c r="D884" s="24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8.75" customHeight="1" x14ac:dyDescent="0.2">
      <c r="A885" s="22"/>
      <c r="B885" s="16"/>
      <c r="C885" s="23"/>
      <c r="D885" s="24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8.75" customHeight="1" x14ac:dyDescent="0.2">
      <c r="A886" s="22"/>
      <c r="B886" s="16"/>
      <c r="C886" s="23"/>
      <c r="D886" s="24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8.75" customHeight="1" x14ac:dyDescent="0.2">
      <c r="A887" s="22"/>
      <c r="B887" s="16"/>
      <c r="C887" s="23"/>
      <c r="D887" s="24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8.75" customHeight="1" x14ac:dyDescent="0.2">
      <c r="A888" s="22"/>
      <c r="B888" s="16"/>
      <c r="C888" s="23"/>
      <c r="D888" s="24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8.75" customHeight="1" x14ac:dyDescent="0.2">
      <c r="A889" s="22"/>
      <c r="B889" s="16"/>
      <c r="C889" s="23"/>
      <c r="D889" s="24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8.75" customHeight="1" x14ac:dyDescent="0.2">
      <c r="A890" s="22"/>
      <c r="B890" s="16"/>
      <c r="C890" s="23"/>
      <c r="D890" s="24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8.75" customHeight="1" x14ac:dyDescent="0.2">
      <c r="A891" s="22"/>
      <c r="B891" s="16"/>
      <c r="C891" s="23"/>
      <c r="D891" s="24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8.75" customHeight="1" x14ac:dyDescent="0.2">
      <c r="A892" s="22"/>
      <c r="B892" s="16"/>
      <c r="C892" s="23"/>
      <c r="D892" s="24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8.75" customHeight="1" x14ac:dyDescent="0.2">
      <c r="A893" s="22"/>
      <c r="B893" s="16"/>
      <c r="C893" s="23"/>
      <c r="D893" s="24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8.75" customHeight="1" x14ac:dyDescent="0.2">
      <c r="A894" s="22"/>
      <c r="B894" s="16"/>
      <c r="C894" s="23"/>
      <c r="D894" s="24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8.75" customHeight="1" x14ac:dyDescent="0.2">
      <c r="A895" s="22"/>
      <c r="B895" s="16"/>
      <c r="C895" s="23"/>
      <c r="D895" s="24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8.75" customHeight="1" x14ac:dyDescent="0.2">
      <c r="A896" s="22"/>
      <c r="B896" s="16"/>
      <c r="C896" s="23"/>
      <c r="D896" s="24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8.75" customHeight="1" x14ac:dyDescent="0.2">
      <c r="A897" s="22"/>
      <c r="B897" s="16"/>
      <c r="C897" s="23"/>
      <c r="D897" s="24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8.75" customHeight="1" x14ac:dyDescent="0.2">
      <c r="A898" s="22"/>
      <c r="B898" s="16"/>
      <c r="C898" s="23"/>
      <c r="D898" s="24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8.75" customHeight="1" x14ac:dyDescent="0.2">
      <c r="A899" s="22"/>
      <c r="B899" s="16"/>
      <c r="C899" s="23"/>
      <c r="D899" s="24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8.75" customHeight="1" x14ac:dyDescent="0.2">
      <c r="A900" s="22"/>
      <c r="B900" s="16"/>
      <c r="C900" s="23"/>
      <c r="D900" s="24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8.75" customHeight="1" x14ac:dyDescent="0.2">
      <c r="A901" s="22"/>
      <c r="B901" s="16"/>
      <c r="C901" s="23"/>
      <c r="D901" s="24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8.75" customHeight="1" x14ac:dyDescent="0.2">
      <c r="A902" s="22"/>
      <c r="B902" s="16"/>
      <c r="C902" s="23"/>
      <c r="D902" s="24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8.75" customHeight="1" x14ac:dyDescent="0.2">
      <c r="A903" s="22"/>
      <c r="B903" s="16"/>
      <c r="C903" s="23"/>
      <c r="D903" s="24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8.75" customHeight="1" x14ac:dyDescent="0.2">
      <c r="A904" s="22"/>
      <c r="B904" s="16"/>
      <c r="C904" s="23"/>
      <c r="D904" s="24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8.75" customHeight="1" x14ac:dyDescent="0.2">
      <c r="A905" s="22"/>
      <c r="B905" s="16"/>
      <c r="C905" s="23"/>
      <c r="D905" s="24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8.75" customHeight="1" x14ac:dyDescent="0.2">
      <c r="A906" s="22"/>
      <c r="B906" s="16"/>
      <c r="C906" s="23"/>
      <c r="D906" s="24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8.75" customHeight="1" x14ac:dyDescent="0.2">
      <c r="A907" s="22"/>
      <c r="B907" s="16"/>
      <c r="C907" s="23"/>
      <c r="D907" s="24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8.75" customHeight="1" x14ac:dyDescent="0.2">
      <c r="A908" s="22"/>
      <c r="B908" s="16"/>
      <c r="C908" s="23"/>
      <c r="D908" s="24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8.75" customHeight="1" x14ac:dyDescent="0.2">
      <c r="A909" s="22"/>
      <c r="B909" s="16"/>
      <c r="C909" s="23"/>
      <c r="D909" s="24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8.75" customHeight="1" x14ac:dyDescent="0.2">
      <c r="A910" s="22"/>
      <c r="B910" s="16"/>
      <c r="C910" s="23"/>
      <c r="D910" s="24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8.75" customHeight="1" x14ac:dyDescent="0.2">
      <c r="A911" s="22"/>
      <c r="B911" s="16"/>
      <c r="C911" s="23"/>
      <c r="D911" s="24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8.75" customHeight="1" x14ac:dyDescent="0.2">
      <c r="A912" s="22"/>
      <c r="B912" s="16"/>
      <c r="C912" s="23"/>
      <c r="D912" s="24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8.75" customHeight="1" x14ac:dyDescent="0.2">
      <c r="A913" s="22"/>
      <c r="B913" s="16"/>
      <c r="C913" s="23"/>
      <c r="D913" s="24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8.75" customHeight="1" x14ac:dyDescent="0.2">
      <c r="A914" s="22"/>
      <c r="B914" s="16"/>
      <c r="C914" s="23"/>
      <c r="D914" s="24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8.75" customHeight="1" x14ac:dyDescent="0.2">
      <c r="A915" s="22"/>
      <c r="B915" s="16"/>
      <c r="C915" s="23"/>
      <c r="D915" s="24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8.75" customHeight="1" x14ac:dyDescent="0.2">
      <c r="A916" s="22"/>
      <c r="B916" s="16"/>
      <c r="C916" s="23"/>
      <c r="D916" s="24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8.75" customHeight="1" x14ac:dyDescent="0.2">
      <c r="A917" s="22"/>
      <c r="B917" s="16"/>
      <c r="C917" s="23"/>
      <c r="D917" s="24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8.75" customHeight="1" x14ac:dyDescent="0.2">
      <c r="A918" s="22"/>
      <c r="B918" s="16"/>
      <c r="C918" s="23"/>
      <c r="D918" s="24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8.75" customHeight="1" x14ac:dyDescent="0.2">
      <c r="A919" s="22"/>
      <c r="B919" s="16"/>
      <c r="C919" s="23"/>
      <c r="D919" s="24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8.75" customHeight="1" x14ac:dyDescent="0.2">
      <c r="A920" s="22"/>
      <c r="B920" s="16"/>
      <c r="C920" s="23"/>
      <c r="D920" s="24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8.75" customHeight="1" x14ac:dyDescent="0.2">
      <c r="A921" s="22"/>
      <c r="B921" s="16"/>
      <c r="C921" s="23"/>
      <c r="D921" s="24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8.75" customHeight="1" x14ac:dyDescent="0.2">
      <c r="A922" s="22"/>
      <c r="B922" s="16"/>
      <c r="C922" s="23"/>
      <c r="D922" s="24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8.75" customHeight="1" x14ac:dyDescent="0.2">
      <c r="A923" s="22"/>
      <c r="B923" s="16"/>
      <c r="C923" s="23"/>
      <c r="D923" s="24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8.75" customHeight="1" x14ac:dyDescent="0.2">
      <c r="A924" s="22"/>
      <c r="B924" s="16"/>
      <c r="C924" s="23"/>
      <c r="D924" s="24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8.75" customHeight="1" x14ac:dyDescent="0.2">
      <c r="A925" s="22"/>
      <c r="B925" s="16"/>
      <c r="C925" s="23"/>
      <c r="D925" s="24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8.75" customHeight="1" x14ac:dyDescent="0.2">
      <c r="A926" s="22"/>
      <c r="B926" s="16"/>
      <c r="C926" s="23"/>
      <c r="D926" s="24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8.75" customHeight="1" x14ac:dyDescent="0.2">
      <c r="A927" s="22"/>
      <c r="B927" s="16"/>
      <c r="C927" s="23"/>
      <c r="D927" s="24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8.75" customHeight="1" x14ac:dyDescent="0.2">
      <c r="A928" s="22"/>
      <c r="B928" s="16"/>
      <c r="C928" s="23"/>
      <c r="D928" s="24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8.75" customHeight="1" x14ac:dyDescent="0.2">
      <c r="A929" s="22"/>
      <c r="B929" s="16"/>
      <c r="C929" s="23"/>
      <c r="D929" s="24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8.75" customHeight="1" x14ac:dyDescent="0.2">
      <c r="A930" s="22"/>
      <c r="B930" s="16"/>
      <c r="C930" s="23"/>
      <c r="D930" s="24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8.75" customHeight="1" x14ac:dyDescent="0.2">
      <c r="A931" s="22"/>
      <c r="B931" s="16"/>
      <c r="C931" s="23"/>
      <c r="D931" s="24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8.75" customHeight="1" x14ac:dyDescent="0.2">
      <c r="A932" s="22"/>
      <c r="B932" s="16"/>
      <c r="C932" s="23"/>
      <c r="D932" s="24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8.75" customHeight="1" x14ac:dyDescent="0.2">
      <c r="A933" s="22"/>
      <c r="B933" s="16"/>
      <c r="C933" s="23"/>
      <c r="D933" s="24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8.75" customHeight="1" x14ac:dyDescent="0.2">
      <c r="A934" s="22"/>
      <c r="B934" s="16"/>
      <c r="C934" s="23"/>
      <c r="D934" s="24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8.75" customHeight="1" x14ac:dyDescent="0.2">
      <c r="A935" s="22"/>
      <c r="B935" s="16"/>
      <c r="C935" s="23"/>
      <c r="D935" s="24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8.75" customHeight="1" x14ac:dyDescent="0.2">
      <c r="A936" s="22"/>
      <c r="B936" s="16"/>
      <c r="C936" s="23"/>
      <c r="D936" s="24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8.75" customHeight="1" x14ac:dyDescent="0.2">
      <c r="A937" s="22"/>
      <c r="B937" s="16"/>
      <c r="C937" s="23"/>
      <c r="D937" s="24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8.75" customHeight="1" x14ac:dyDescent="0.2">
      <c r="A938" s="22"/>
      <c r="B938" s="16"/>
      <c r="C938" s="23"/>
      <c r="D938" s="24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8.75" customHeight="1" x14ac:dyDescent="0.2">
      <c r="A939" s="22"/>
      <c r="B939" s="16"/>
      <c r="C939" s="23"/>
      <c r="D939" s="24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8.75" customHeight="1" x14ac:dyDescent="0.2">
      <c r="A940" s="22"/>
      <c r="B940" s="16"/>
      <c r="C940" s="23"/>
      <c r="D940" s="24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8.75" customHeight="1" x14ac:dyDescent="0.2">
      <c r="A941" s="22"/>
      <c r="B941" s="16"/>
      <c r="C941" s="23"/>
      <c r="D941" s="24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8.75" customHeight="1" x14ac:dyDescent="0.2">
      <c r="A942" s="22"/>
      <c r="B942" s="16"/>
      <c r="C942" s="23"/>
      <c r="D942" s="24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8.75" customHeight="1" x14ac:dyDescent="0.2">
      <c r="A943" s="22"/>
      <c r="B943" s="16"/>
      <c r="C943" s="23"/>
      <c r="D943" s="24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8.75" customHeight="1" x14ac:dyDescent="0.2">
      <c r="A944" s="22"/>
      <c r="B944" s="16"/>
      <c r="C944" s="23"/>
      <c r="D944" s="24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8.75" customHeight="1" x14ac:dyDescent="0.2">
      <c r="A945" s="22"/>
      <c r="B945" s="16"/>
      <c r="C945" s="23"/>
      <c r="D945" s="24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8.75" customHeight="1" x14ac:dyDescent="0.2">
      <c r="A946" s="22"/>
      <c r="B946" s="16"/>
      <c r="C946" s="23"/>
      <c r="D946" s="24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8.75" customHeight="1" x14ac:dyDescent="0.2">
      <c r="A947" s="22"/>
      <c r="B947" s="16"/>
      <c r="C947" s="23"/>
      <c r="D947" s="24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8.75" customHeight="1" x14ac:dyDescent="0.2">
      <c r="A948" s="22"/>
      <c r="B948" s="16"/>
      <c r="C948" s="23"/>
      <c r="D948" s="24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8.75" customHeight="1" x14ac:dyDescent="0.2">
      <c r="A949" s="22"/>
      <c r="B949" s="16"/>
      <c r="C949" s="23"/>
      <c r="D949" s="24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8.75" customHeight="1" x14ac:dyDescent="0.2">
      <c r="A950" s="22"/>
      <c r="B950" s="16"/>
      <c r="C950" s="23"/>
      <c r="D950" s="24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8.75" customHeight="1" x14ac:dyDescent="0.2">
      <c r="A951" s="22"/>
      <c r="B951" s="16"/>
      <c r="C951" s="23"/>
      <c r="D951" s="24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8.75" customHeight="1" x14ac:dyDescent="0.2">
      <c r="A952" s="22"/>
      <c r="B952" s="16"/>
      <c r="C952" s="23"/>
      <c r="D952" s="24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8.75" customHeight="1" x14ac:dyDescent="0.2">
      <c r="A953" s="22"/>
      <c r="B953" s="16"/>
      <c r="C953" s="23"/>
      <c r="D953" s="24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8.75" customHeight="1" x14ac:dyDescent="0.2">
      <c r="A954" s="22"/>
      <c r="B954" s="16"/>
      <c r="C954" s="23"/>
      <c r="D954" s="24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8.75" customHeight="1" x14ac:dyDescent="0.2">
      <c r="A955" s="22"/>
      <c r="B955" s="16"/>
      <c r="C955" s="23"/>
      <c r="D955" s="24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8.75" customHeight="1" x14ac:dyDescent="0.2">
      <c r="A956" s="22"/>
      <c r="B956" s="16"/>
      <c r="C956" s="23"/>
      <c r="D956" s="24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8.75" customHeight="1" x14ac:dyDescent="0.2">
      <c r="A957" s="22"/>
      <c r="B957" s="16"/>
      <c r="C957" s="23"/>
      <c r="D957" s="24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8.75" customHeight="1" x14ac:dyDescent="0.2">
      <c r="A958" s="22"/>
      <c r="B958" s="16"/>
      <c r="C958" s="23"/>
      <c r="D958" s="24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8.75" customHeight="1" x14ac:dyDescent="0.2">
      <c r="A959" s="22"/>
      <c r="B959" s="16"/>
      <c r="C959" s="23"/>
      <c r="D959" s="24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8.75" customHeight="1" x14ac:dyDescent="0.2">
      <c r="A960" s="22"/>
      <c r="B960" s="16"/>
      <c r="C960" s="23"/>
      <c r="D960" s="24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8.75" customHeight="1" x14ac:dyDescent="0.2">
      <c r="A961" s="22"/>
      <c r="B961" s="16"/>
      <c r="C961" s="23"/>
      <c r="D961" s="24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8.75" customHeight="1" x14ac:dyDescent="0.2">
      <c r="A962" s="22"/>
      <c r="B962" s="16"/>
      <c r="C962" s="23"/>
      <c r="D962" s="24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8.75" customHeight="1" x14ac:dyDescent="0.2">
      <c r="A963" s="22"/>
      <c r="B963" s="16"/>
      <c r="C963" s="23"/>
      <c r="D963" s="24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8.75" customHeight="1" x14ac:dyDescent="0.2">
      <c r="A964" s="22"/>
      <c r="B964" s="16"/>
      <c r="C964" s="23"/>
      <c r="D964" s="24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8.75" customHeight="1" x14ac:dyDescent="0.2">
      <c r="A965" s="22"/>
      <c r="B965" s="16"/>
      <c r="C965" s="23"/>
      <c r="D965" s="24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8.75" customHeight="1" x14ac:dyDescent="0.2">
      <c r="A966" s="22"/>
      <c r="B966" s="16"/>
      <c r="C966" s="23"/>
      <c r="D966" s="24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8.75" customHeight="1" x14ac:dyDescent="0.2">
      <c r="A967" s="22"/>
      <c r="B967" s="16"/>
      <c r="C967" s="23"/>
      <c r="D967" s="24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8.75" customHeight="1" x14ac:dyDescent="0.2">
      <c r="A968" s="22"/>
      <c r="B968" s="16"/>
      <c r="C968" s="23"/>
      <c r="D968" s="24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8.75" customHeight="1" x14ac:dyDescent="0.2">
      <c r="A969" s="22"/>
      <c r="B969" s="16"/>
      <c r="C969" s="23"/>
      <c r="D969" s="24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8.75" customHeight="1" x14ac:dyDescent="0.2">
      <c r="A970" s="22"/>
      <c r="B970" s="16"/>
      <c r="C970" s="23"/>
      <c r="D970" s="24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8.75" customHeight="1" x14ac:dyDescent="0.2">
      <c r="A971" s="22"/>
      <c r="B971" s="16"/>
      <c r="C971" s="23"/>
      <c r="D971" s="24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8.75" customHeight="1" x14ac:dyDescent="0.2">
      <c r="A972" s="22"/>
      <c r="B972" s="16"/>
      <c r="C972" s="23"/>
      <c r="D972" s="24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8.75" customHeight="1" x14ac:dyDescent="0.2">
      <c r="A973" s="22"/>
      <c r="B973" s="16"/>
      <c r="C973" s="23"/>
      <c r="D973" s="24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8.75" customHeight="1" x14ac:dyDescent="0.2">
      <c r="A974" s="22"/>
      <c r="B974" s="16"/>
      <c r="C974" s="23"/>
      <c r="D974" s="24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8.75" customHeight="1" x14ac:dyDescent="0.2">
      <c r="A975" s="22"/>
      <c r="B975" s="16"/>
      <c r="C975" s="23"/>
      <c r="D975" s="24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8.75" customHeight="1" x14ac:dyDescent="0.2">
      <c r="A976" s="22"/>
      <c r="B976" s="16"/>
      <c r="C976" s="23"/>
      <c r="D976" s="24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8.75" customHeight="1" x14ac:dyDescent="0.2">
      <c r="A977" s="22"/>
      <c r="B977" s="16"/>
      <c r="C977" s="23"/>
      <c r="D977" s="24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8.75" customHeight="1" x14ac:dyDescent="0.2">
      <c r="A978" s="22"/>
      <c r="B978" s="16"/>
      <c r="C978" s="23"/>
      <c r="D978" s="24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8.75" customHeight="1" x14ac:dyDescent="0.2">
      <c r="A979" s="22"/>
      <c r="B979" s="16"/>
      <c r="C979" s="23"/>
      <c r="D979" s="24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8.75" customHeight="1" x14ac:dyDescent="0.2">
      <c r="A980" s="22"/>
      <c r="B980" s="16"/>
      <c r="C980" s="23"/>
      <c r="D980" s="24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8.75" customHeight="1" x14ac:dyDescent="0.2">
      <c r="A981" s="22"/>
      <c r="B981" s="16"/>
      <c r="C981" s="23"/>
      <c r="D981" s="24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8.75" customHeight="1" x14ac:dyDescent="0.2">
      <c r="A982" s="22"/>
      <c r="B982" s="16"/>
      <c r="C982" s="23"/>
      <c r="D982" s="24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8.75" customHeight="1" x14ac:dyDescent="0.2">
      <c r="A983" s="22"/>
      <c r="B983" s="16"/>
      <c r="C983" s="23"/>
      <c r="D983" s="24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8.75" customHeight="1" x14ac:dyDescent="0.2">
      <c r="A984" s="22"/>
      <c r="B984" s="16"/>
      <c r="C984" s="23"/>
      <c r="D984" s="24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8.75" customHeight="1" x14ac:dyDescent="0.2">
      <c r="A985" s="22"/>
      <c r="B985" s="16"/>
      <c r="C985" s="23"/>
      <c r="D985" s="24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8.75" customHeight="1" x14ac:dyDescent="0.2">
      <c r="A986" s="22"/>
      <c r="B986" s="16"/>
      <c r="C986" s="23"/>
      <c r="D986" s="24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8.75" customHeight="1" x14ac:dyDescent="0.2">
      <c r="A987" s="22"/>
      <c r="B987" s="16"/>
      <c r="C987" s="23"/>
      <c r="D987" s="24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8.75" customHeight="1" x14ac:dyDescent="0.2">
      <c r="A988" s="22"/>
      <c r="B988" s="16"/>
      <c r="C988" s="23"/>
      <c r="D988" s="24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8.75" customHeight="1" x14ac:dyDescent="0.2">
      <c r="A989" s="22"/>
      <c r="B989" s="16"/>
      <c r="C989" s="23"/>
      <c r="D989" s="24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8.75" customHeight="1" x14ac:dyDescent="0.2">
      <c r="A990" s="22"/>
      <c r="B990" s="16"/>
      <c r="C990" s="23"/>
      <c r="D990" s="24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8.75" customHeight="1" x14ac:dyDescent="0.2">
      <c r="A991" s="22"/>
      <c r="B991" s="16"/>
      <c r="C991" s="23"/>
      <c r="D991" s="24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8.75" customHeight="1" x14ac:dyDescent="0.2">
      <c r="A992" s="22"/>
      <c r="B992" s="16"/>
      <c r="C992" s="23"/>
      <c r="D992" s="24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8.75" customHeight="1" x14ac:dyDescent="0.2">
      <c r="A993" s="22"/>
      <c r="B993" s="16"/>
      <c r="C993" s="23"/>
      <c r="D993" s="24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8.75" customHeight="1" x14ac:dyDescent="0.2">
      <c r="A994" s="22"/>
      <c r="B994" s="16"/>
      <c r="C994" s="23"/>
      <c r="D994" s="24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8.75" customHeight="1" x14ac:dyDescent="0.2">
      <c r="A995" s="22"/>
      <c r="B995" s="16"/>
      <c r="C995" s="23"/>
      <c r="D995" s="24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8.75" customHeight="1" x14ac:dyDescent="0.2">
      <c r="A996" s="22"/>
      <c r="B996" s="16"/>
      <c r="C996" s="23"/>
      <c r="D996" s="24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8.75" customHeight="1" x14ac:dyDescent="0.2">
      <c r="A997" s="22"/>
      <c r="B997" s="16"/>
      <c r="C997" s="23"/>
      <c r="D997" s="24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8.75" customHeight="1" x14ac:dyDescent="0.2">
      <c r="A998" s="22"/>
      <c r="B998" s="16"/>
      <c r="C998" s="23"/>
      <c r="D998" s="24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8.75" customHeight="1" x14ac:dyDescent="0.2">
      <c r="A999" s="22"/>
      <c r="B999" s="16"/>
      <c r="C999" s="23"/>
      <c r="D999" s="24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8.75" customHeight="1" x14ac:dyDescent="0.2">
      <c r="A1000" s="22"/>
      <c r="B1000" s="16"/>
      <c r="C1000" s="23"/>
      <c r="D1000" s="24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1:27" ht="18.75" customHeight="1" x14ac:dyDescent="0.2">
      <c r="A1001" s="22"/>
      <c r="B1001" s="16"/>
      <c r="C1001" s="23"/>
      <c r="D1001" s="24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</sheetData>
  <mergeCells count="49">
    <mergeCell ref="G33:I33"/>
    <mergeCell ref="J33:P33"/>
    <mergeCell ref="G29:P29"/>
    <mergeCell ref="G30:I30"/>
    <mergeCell ref="J30:P30"/>
    <mergeCell ref="G31:I31"/>
    <mergeCell ref="J31:P31"/>
    <mergeCell ref="G32:I32"/>
    <mergeCell ref="J32:P32"/>
    <mergeCell ref="A1:B2"/>
    <mergeCell ref="C1:P1"/>
    <mergeCell ref="Q1:R1"/>
    <mergeCell ref="C2:P2"/>
    <mergeCell ref="Q2:R2"/>
    <mergeCell ref="C4:R4"/>
    <mergeCell ref="A5:R5"/>
    <mergeCell ref="N6:P6"/>
    <mergeCell ref="N7:P7"/>
    <mergeCell ref="D8:R8"/>
    <mergeCell ref="J9:R9"/>
    <mergeCell ref="J10:R10"/>
    <mergeCell ref="A6:D6"/>
    <mergeCell ref="E6:H6"/>
    <mergeCell ref="I6:M6"/>
    <mergeCell ref="Q6:R6"/>
    <mergeCell ref="Q7:R7"/>
    <mergeCell ref="I7:M7"/>
    <mergeCell ref="E7:H7"/>
    <mergeCell ref="A7:D7"/>
    <mergeCell ref="A8:C8"/>
    <mergeCell ref="A9:I9"/>
    <mergeCell ref="A10:I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7:D27"/>
    <mergeCell ref="B21:D21"/>
    <mergeCell ref="B23:D23"/>
    <mergeCell ref="B24:D24"/>
    <mergeCell ref="B25:D25"/>
    <mergeCell ref="B26:D26"/>
    <mergeCell ref="B22:D22"/>
  </mergeCells>
  <printOptions horizontalCentered="1"/>
  <pageMargins left="0.70866141732283472" right="0.70866141732283472" top="0.74803149606299213" bottom="0.74803149606299213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3"/>
  <sheetViews>
    <sheetView zoomScale="87" zoomScaleNormal="42" workbookViewId="0">
      <selection activeCell="I46" sqref="I46"/>
    </sheetView>
  </sheetViews>
  <sheetFormatPr baseColWidth="10" defaultRowHeight="16" x14ac:dyDescent="0.2"/>
  <cols>
    <col min="2" max="2" width="33.85546875" customWidth="1"/>
    <col min="4" max="4" width="77.140625" customWidth="1"/>
    <col min="5" max="5" width="48.5703125" customWidth="1"/>
    <col min="6" max="6" width="54.85546875" customWidth="1"/>
    <col min="7" max="7" width="58.140625" customWidth="1"/>
    <col min="9" max="9" width="90.28515625" bestFit="1" customWidth="1"/>
    <col min="10" max="10" width="24.85546875" customWidth="1"/>
    <col min="11" max="11" width="33.85546875" customWidth="1"/>
    <col min="12" max="12" width="21.85546875" customWidth="1"/>
    <col min="13" max="13" width="41.5703125" customWidth="1"/>
    <col min="14" max="14" width="28.140625" customWidth="1"/>
    <col min="15" max="15" width="53.5703125" customWidth="1"/>
    <col min="16" max="16" width="31.42578125" customWidth="1"/>
    <col min="18" max="18" width="70.140625" customWidth="1"/>
  </cols>
  <sheetData>
    <row r="1" spans="1:18" ht="18.75" customHeight="1" x14ac:dyDescent="0.2">
      <c r="A1" s="193"/>
      <c r="B1" s="150"/>
      <c r="C1" s="194" t="s">
        <v>0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2"/>
      <c r="Q1" s="194" t="s">
        <v>1</v>
      </c>
      <c r="R1" s="132"/>
    </row>
    <row r="2" spans="1:18" ht="118.5" customHeight="1" x14ac:dyDescent="0.2">
      <c r="A2" s="151"/>
      <c r="B2" s="152"/>
      <c r="C2" s="194" t="s">
        <v>2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2"/>
      <c r="Q2" s="194" t="s">
        <v>3</v>
      </c>
      <c r="R2" s="132"/>
    </row>
    <row r="3" spans="1:18" ht="19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9" x14ac:dyDescent="0.2">
      <c r="A4" s="3" t="s">
        <v>4</v>
      </c>
      <c r="B4" s="3"/>
      <c r="C4" s="145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2"/>
    </row>
    <row r="5" spans="1:18" ht="19" x14ac:dyDescent="0.2">
      <c r="A5" s="146" t="s">
        <v>5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2"/>
    </row>
    <row r="6" spans="1:18" ht="19" x14ac:dyDescent="0.2">
      <c r="A6" s="196" t="s">
        <v>6</v>
      </c>
      <c r="B6" s="131"/>
      <c r="C6" s="131"/>
      <c r="D6" s="132"/>
      <c r="E6" s="196" t="s">
        <v>7</v>
      </c>
      <c r="F6" s="131"/>
      <c r="G6" s="131"/>
      <c r="H6" s="132"/>
      <c r="I6" s="196" t="s">
        <v>8</v>
      </c>
      <c r="J6" s="131"/>
      <c r="K6" s="131"/>
      <c r="L6" s="131"/>
      <c r="M6" s="132"/>
      <c r="N6" s="196" t="s">
        <v>9</v>
      </c>
      <c r="O6" s="131"/>
      <c r="P6" s="132"/>
      <c r="Q6" s="196" t="s">
        <v>10</v>
      </c>
      <c r="R6" s="132"/>
    </row>
    <row r="7" spans="1:18" ht="19" x14ac:dyDescent="0.2">
      <c r="A7" s="197">
        <f>'DOCUMENTO INTERNO'!A7:D7</f>
        <v>0</v>
      </c>
      <c r="B7" s="198"/>
      <c r="C7" s="198"/>
      <c r="D7" s="199"/>
      <c r="E7" s="197">
        <f>'DOCUMENTO INTERNO'!E7:H7</f>
        <v>0</v>
      </c>
      <c r="F7" s="198"/>
      <c r="G7" s="198"/>
      <c r="H7" s="199"/>
      <c r="I7" s="197">
        <f>'DOCUMENTO INTERNO'!I7:M7</f>
        <v>0</v>
      </c>
      <c r="J7" s="198"/>
      <c r="K7" s="198"/>
      <c r="L7" s="198"/>
      <c r="M7" s="199"/>
      <c r="N7" s="200">
        <f>'DOCUMENTO INTERNO'!N7:P7</f>
        <v>0</v>
      </c>
      <c r="O7" s="198"/>
      <c r="P7" s="199"/>
      <c r="Q7" s="145"/>
      <c r="R7" s="132"/>
    </row>
    <row r="8" spans="1:18" ht="19" x14ac:dyDescent="0.2">
      <c r="A8" s="195" t="s">
        <v>11</v>
      </c>
      <c r="B8" s="131"/>
      <c r="C8" s="132"/>
      <c r="D8" s="194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2"/>
    </row>
    <row r="9" spans="1:18" ht="19" x14ac:dyDescent="0.2">
      <c r="A9" s="195" t="s">
        <v>12</v>
      </c>
      <c r="B9" s="131"/>
      <c r="C9" s="131"/>
      <c r="D9" s="131"/>
      <c r="E9" s="131"/>
      <c r="F9" s="131"/>
      <c r="G9" s="131"/>
      <c r="H9" s="131"/>
      <c r="I9" s="132"/>
      <c r="J9" s="195" t="s">
        <v>13</v>
      </c>
      <c r="K9" s="131"/>
      <c r="L9" s="131"/>
      <c r="M9" s="131"/>
      <c r="N9" s="131"/>
      <c r="O9" s="131"/>
      <c r="P9" s="131"/>
      <c r="Q9" s="131"/>
      <c r="R9" s="132"/>
    </row>
    <row r="10" spans="1:18" ht="19" x14ac:dyDescent="0.2">
      <c r="A10" s="133"/>
      <c r="B10" s="131"/>
      <c r="C10" s="131"/>
      <c r="D10" s="131"/>
      <c r="E10" s="131"/>
      <c r="F10" s="131"/>
      <c r="G10" s="131"/>
      <c r="H10" s="131"/>
      <c r="I10" s="132"/>
      <c r="J10" s="134"/>
      <c r="K10" s="131"/>
      <c r="L10" s="131"/>
      <c r="M10" s="131"/>
      <c r="N10" s="131"/>
      <c r="O10" s="131"/>
      <c r="P10" s="131"/>
      <c r="Q10" s="131"/>
      <c r="R10" s="132"/>
    </row>
    <row r="11" spans="1:18" ht="19" x14ac:dyDescent="0.2">
      <c r="A11" s="100" t="s">
        <v>14</v>
      </c>
      <c r="B11" s="201" t="s">
        <v>15</v>
      </c>
      <c r="C11" s="136"/>
      <c r="D11" s="202"/>
      <c r="E11" s="114" t="s">
        <v>16</v>
      </c>
      <c r="F11" s="114" t="s">
        <v>17</v>
      </c>
      <c r="G11" s="114" t="s">
        <v>18</v>
      </c>
      <c r="H11" s="115" t="s">
        <v>19</v>
      </c>
      <c r="I11" s="115" t="s">
        <v>20</v>
      </c>
      <c r="J11" s="115" t="s">
        <v>21</v>
      </c>
      <c r="K11" s="116" t="s">
        <v>22</v>
      </c>
      <c r="L11" s="115" t="s">
        <v>23</v>
      </c>
      <c r="M11" s="115" t="s">
        <v>24</v>
      </c>
      <c r="N11" s="115" t="s">
        <v>25</v>
      </c>
      <c r="O11" s="115" t="s">
        <v>26</v>
      </c>
      <c r="P11" s="115" t="s">
        <v>27</v>
      </c>
      <c r="Q11" s="115" t="s">
        <v>28</v>
      </c>
      <c r="R11" s="115" t="s">
        <v>29</v>
      </c>
    </row>
    <row r="12" spans="1:18" ht="60" x14ac:dyDescent="0.2">
      <c r="A12" s="113">
        <v>1</v>
      </c>
      <c r="B12" s="191" t="s">
        <v>415</v>
      </c>
      <c r="C12" s="192"/>
      <c r="D12" s="144"/>
      <c r="E12" s="8" t="s">
        <v>458</v>
      </c>
      <c r="F12" s="87" t="s">
        <v>411</v>
      </c>
      <c r="G12" s="117" t="s">
        <v>33</v>
      </c>
      <c r="H12" s="118" t="s">
        <v>34</v>
      </c>
      <c r="I12" s="8" t="str">
        <f>_xlfn.CONCAT(B12," ",E12,"-",F12,"-",G12," Ver. ",H12," de fecha 7/07/2025")</f>
        <v>PROTOCOLO DE VERIFICACIÓN DE TRABAJOS DE ESTRUCTURAS GSI-PROTO-001 Ver. 00 de fecha 7/07/2025</v>
      </c>
      <c r="J12" s="119"/>
      <c r="K12" s="68" t="s">
        <v>36</v>
      </c>
      <c r="L12" s="68"/>
      <c r="M12" s="68" t="s">
        <v>413</v>
      </c>
      <c r="N12" s="68" t="s">
        <v>38</v>
      </c>
      <c r="O12" s="68" t="s">
        <v>91</v>
      </c>
      <c r="P12" s="68" t="s">
        <v>40</v>
      </c>
      <c r="Q12" s="68" t="s">
        <v>41</v>
      </c>
      <c r="R12" s="69" t="s">
        <v>394</v>
      </c>
    </row>
    <row r="13" spans="1:18" ht="60" x14ac:dyDescent="0.2">
      <c r="A13" s="113">
        <v>2</v>
      </c>
      <c r="B13" s="191" t="s">
        <v>416</v>
      </c>
      <c r="C13" s="192"/>
      <c r="D13" s="144"/>
      <c r="E13" s="8" t="s">
        <v>458</v>
      </c>
      <c r="F13" s="87" t="s">
        <v>411</v>
      </c>
      <c r="G13" s="120" t="s">
        <v>43</v>
      </c>
      <c r="H13" s="102" t="s">
        <v>34</v>
      </c>
      <c r="I13" s="8" t="str">
        <f t="shared" ref="I13:I57" si="0">_xlfn.CONCAT(B13," ",E13,"-",F13,"-",G13," Ver. ",H13," de fecha 7/07/2025")</f>
        <v>PROTOCOLO DE INSTALACIÓN DE AISLADORES GSI-PROTO-002 Ver. 00 de fecha 7/07/2025</v>
      </c>
      <c r="J13" s="103"/>
      <c r="K13" s="68" t="s">
        <v>36</v>
      </c>
      <c r="L13" s="11"/>
      <c r="M13" s="11" t="s">
        <v>413</v>
      </c>
      <c r="N13" s="11" t="s">
        <v>38</v>
      </c>
      <c r="O13" s="11" t="s">
        <v>91</v>
      </c>
      <c r="P13" s="11" t="s">
        <v>40</v>
      </c>
      <c r="Q13" s="68" t="s">
        <v>41</v>
      </c>
      <c r="R13" s="69" t="s">
        <v>394</v>
      </c>
    </row>
    <row r="14" spans="1:18" ht="60" x14ac:dyDescent="0.2">
      <c r="A14" s="113">
        <v>3</v>
      </c>
      <c r="B14" s="191" t="s">
        <v>417</v>
      </c>
      <c r="C14" s="192"/>
      <c r="D14" s="144"/>
      <c r="E14" s="8" t="s">
        <v>458</v>
      </c>
      <c r="F14" s="87" t="s">
        <v>411</v>
      </c>
      <c r="G14" s="65" t="s">
        <v>45</v>
      </c>
      <c r="H14" s="102" t="s">
        <v>34</v>
      </c>
      <c r="I14" s="8" t="str">
        <f t="shared" si="0"/>
        <v>PROTOCOLO DE RETIRO DE PLACA DE AISLADORES  GSI-PROTO-003 Ver. 00 de fecha 7/07/2025</v>
      </c>
      <c r="J14" s="103"/>
      <c r="K14" s="68" t="s">
        <v>36</v>
      </c>
      <c r="L14" s="11"/>
      <c r="M14" s="11" t="s">
        <v>413</v>
      </c>
      <c r="N14" s="11" t="s">
        <v>38</v>
      </c>
      <c r="O14" s="11" t="s">
        <v>91</v>
      </c>
      <c r="P14" s="11" t="s">
        <v>40</v>
      </c>
      <c r="Q14" s="68" t="s">
        <v>41</v>
      </c>
      <c r="R14" s="69" t="s">
        <v>394</v>
      </c>
    </row>
    <row r="15" spans="1:18" ht="60" x14ac:dyDescent="0.2">
      <c r="A15" s="113">
        <v>4</v>
      </c>
      <c r="B15" s="191" t="s">
        <v>418</v>
      </c>
      <c r="C15" s="192"/>
      <c r="D15" s="144"/>
      <c r="E15" s="8" t="s">
        <v>458</v>
      </c>
      <c r="F15" s="87" t="s">
        <v>411</v>
      </c>
      <c r="G15" s="9" t="s">
        <v>47</v>
      </c>
      <c r="H15" s="102" t="s">
        <v>34</v>
      </c>
      <c r="I15" s="8" t="str">
        <f t="shared" si="0"/>
        <v>PROTOCOLO CALIDAD DE CONCRETO  GSI-PROTO-004 Ver. 00 de fecha 7/07/2025</v>
      </c>
      <c r="J15" s="103"/>
      <c r="K15" s="68" t="s">
        <v>36</v>
      </c>
      <c r="L15" s="11"/>
      <c r="M15" s="11" t="s">
        <v>413</v>
      </c>
      <c r="N15" s="11" t="s">
        <v>38</v>
      </c>
      <c r="O15" s="11" t="s">
        <v>91</v>
      </c>
      <c r="P15" s="11" t="s">
        <v>40</v>
      </c>
      <c r="Q15" s="68" t="s">
        <v>41</v>
      </c>
      <c r="R15" s="69" t="s">
        <v>394</v>
      </c>
    </row>
    <row r="16" spans="1:18" ht="60" x14ac:dyDescent="0.2">
      <c r="A16" s="113">
        <v>5</v>
      </c>
      <c r="B16" s="191" t="s">
        <v>419</v>
      </c>
      <c r="C16" s="192"/>
      <c r="D16" s="144"/>
      <c r="E16" s="8" t="s">
        <v>458</v>
      </c>
      <c r="F16" s="87" t="s">
        <v>411</v>
      </c>
      <c r="G16" s="65" t="s">
        <v>49</v>
      </c>
      <c r="H16" s="102" t="s">
        <v>34</v>
      </c>
      <c r="I16" s="8" t="str">
        <f t="shared" si="0"/>
        <v>PROTOCOLO DE ENCONFRADO  GSI-PROTO-005 Ver. 00 de fecha 7/07/2025</v>
      </c>
      <c r="J16" s="103"/>
      <c r="K16" s="68" t="s">
        <v>36</v>
      </c>
      <c r="L16" s="11"/>
      <c r="M16" s="11" t="s">
        <v>413</v>
      </c>
      <c r="N16" s="11" t="s">
        <v>38</v>
      </c>
      <c r="O16" s="11" t="s">
        <v>91</v>
      </c>
      <c r="P16" s="11" t="s">
        <v>40</v>
      </c>
      <c r="Q16" s="68" t="s">
        <v>41</v>
      </c>
      <c r="R16" s="69" t="s">
        <v>394</v>
      </c>
    </row>
    <row r="17" spans="1:18" ht="60" x14ac:dyDescent="0.2">
      <c r="A17" s="113">
        <v>6</v>
      </c>
      <c r="B17" s="191" t="s">
        <v>403</v>
      </c>
      <c r="C17" s="192"/>
      <c r="D17" s="144"/>
      <c r="E17" s="8" t="s">
        <v>458</v>
      </c>
      <c r="F17" s="87" t="s">
        <v>411</v>
      </c>
      <c r="G17" s="9" t="s">
        <v>51</v>
      </c>
      <c r="H17" s="102" t="s">
        <v>34</v>
      </c>
      <c r="I17" s="8" t="str">
        <f t="shared" si="0"/>
        <v>PROTOCOLO DE HABILITACIÓN DE ACERO  GSI-PROTO-006 Ver. 00 de fecha 7/07/2025</v>
      </c>
      <c r="J17" s="103"/>
      <c r="K17" s="68" t="s">
        <v>36</v>
      </c>
      <c r="L17" s="11"/>
      <c r="M17" s="11" t="s">
        <v>413</v>
      </c>
      <c r="N17" s="11" t="s">
        <v>38</v>
      </c>
      <c r="O17" s="11" t="s">
        <v>91</v>
      </c>
      <c r="P17" s="11" t="s">
        <v>40</v>
      </c>
      <c r="Q17" s="68" t="s">
        <v>41</v>
      </c>
      <c r="R17" s="69" t="s">
        <v>394</v>
      </c>
    </row>
    <row r="18" spans="1:18" ht="60" x14ac:dyDescent="0.2">
      <c r="A18" s="113">
        <v>7</v>
      </c>
      <c r="B18" s="191" t="s">
        <v>420</v>
      </c>
      <c r="C18" s="192"/>
      <c r="D18" s="144"/>
      <c r="E18" s="8" t="s">
        <v>458</v>
      </c>
      <c r="F18" s="87" t="s">
        <v>411</v>
      </c>
      <c r="G18" s="65" t="s">
        <v>53</v>
      </c>
      <c r="H18" s="102" t="s">
        <v>34</v>
      </c>
      <c r="I18" s="8" t="str">
        <f t="shared" si="0"/>
        <v>PROTOCOLO DE PINTADO DE ESTRUCTURAS GSI-PROTO-007 Ver. 00 de fecha 7/07/2025</v>
      </c>
      <c r="J18" s="103"/>
      <c r="K18" s="68" t="s">
        <v>36</v>
      </c>
      <c r="L18" s="11"/>
      <c r="M18" s="11" t="s">
        <v>413</v>
      </c>
      <c r="N18" s="11" t="s">
        <v>38</v>
      </c>
      <c r="O18" s="11" t="s">
        <v>91</v>
      </c>
      <c r="P18" s="11" t="s">
        <v>40</v>
      </c>
      <c r="Q18" s="68" t="s">
        <v>41</v>
      </c>
      <c r="R18" s="69" t="s">
        <v>394</v>
      </c>
    </row>
    <row r="19" spans="1:18" ht="60" x14ac:dyDescent="0.2">
      <c r="A19" s="113">
        <v>8</v>
      </c>
      <c r="B19" s="191" t="s">
        <v>427</v>
      </c>
      <c r="C19" s="192"/>
      <c r="D19" s="144"/>
      <c r="E19" s="8" t="s">
        <v>458</v>
      </c>
      <c r="F19" s="87" t="s">
        <v>411</v>
      </c>
      <c r="G19" s="9" t="s">
        <v>55</v>
      </c>
      <c r="H19" s="102" t="s">
        <v>34</v>
      </c>
      <c r="I19" s="8" t="str">
        <f t="shared" si="0"/>
        <v>CONTROL DE VACIO DE CONTRAPISO GSI-PROTO-008 Ver. 00 de fecha 7/07/2025</v>
      </c>
      <c r="J19" s="103"/>
      <c r="K19" s="68" t="s">
        <v>36</v>
      </c>
      <c r="L19" s="11"/>
      <c r="M19" s="11" t="s">
        <v>413</v>
      </c>
      <c r="N19" s="11" t="s">
        <v>38</v>
      </c>
      <c r="O19" s="11" t="s">
        <v>91</v>
      </c>
      <c r="P19" s="11" t="s">
        <v>40</v>
      </c>
      <c r="Q19" s="68" t="s">
        <v>41</v>
      </c>
      <c r="R19" s="69" t="s">
        <v>394</v>
      </c>
    </row>
    <row r="20" spans="1:18" ht="60" x14ac:dyDescent="0.2">
      <c r="A20" s="113">
        <v>9</v>
      </c>
      <c r="B20" s="191" t="s">
        <v>428</v>
      </c>
      <c r="C20" s="192"/>
      <c r="D20" s="144"/>
      <c r="E20" s="8" t="s">
        <v>458</v>
      </c>
      <c r="F20" s="87" t="s">
        <v>411</v>
      </c>
      <c r="G20" s="65" t="s">
        <v>57</v>
      </c>
      <c r="H20" s="102" t="s">
        <v>34</v>
      </c>
      <c r="I20" s="8" t="str">
        <f t="shared" si="0"/>
        <v>PROTOCOLO DE ALBAÑILERIA GSI-PROTO-009 Ver. 00 de fecha 7/07/2025</v>
      </c>
      <c r="J20" s="103"/>
      <c r="K20" s="68" t="s">
        <v>36</v>
      </c>
      <c r="L20" s="11"/>
      <c r="M20" s="11" t="s">
        <v>413</v>
      </c>
      <c r="N20" s="11" t="s">
        <v>38</v>
      </c>
      <c r="O20" s="11" t="s">
        <v>91</v>
      </c>
      <c r="P20" s="11" t="s">
        <v>40</v>
      </c>
      <c r="Q20" s="68" t="s">
        <v>41</v>
      </c>
      <c r="R20" s="69" t="s">
        <v>394</v>
      </c>
    </row>
    <row r="21" spans="1:18" ht="60" x14ac:dyDescent="0.2">
      <c r="A21" s="113">
        <v>10</v>
      </c>
      <c r="B21" s="191" t="s">
        <v>429</v>
      </c>
      <c r="C21" s="192"/>
      <c r="D21" s="144"/>
      <c r="E21" s="8" t="s">
        <v>458</v>
      </c>
      <c r="F21" s="87" t="s">
        <v>411</v>
      </c>
      <c r="G21" s="9" t="s">
        <v>61</v>
      </c>
      <c r="H21" s="102" t="s">
        <v>34</v>
      </c>
      <c r="I21" s="8" t="str">
        <f t="shared" si="0"/>
        <v>INSPECCIÓN DE TARRAJEOS Y DERRAMES GSI-PROTO-010 Ver. 00 de fecha 7/07/2025</v>
      </c>
      <c r="J21" s="103"/>
      <c r="K21" s="68" t="s">
        <v>36</v>
      </c>
      <c r="L21" s="11"/>
      <c r="M21" s="11" t="s">
        <v>413</v>
      </c>
      <c r="N21" s="11" t="s">
        <v>38</v>
      </c>
      <c r="O21" s="11" t="s">
        <v>91</v>
      </c>
      <c r="P21" s="11" t="s">
        <v>40</v>
      </c>
      <c r="Q21" s="68" t="s">
        <v>41</v>
      </c>
      <c r="R21" s="69" t="s">
        <v>394</v>
      </c>
    </row>
    <row r="22" spans="1:18" ht="60" x14ac:dyDescent="0.2">
      <c r="A22" s="113">
        <v>10</v>
      </c>
      <c r="B22" s="191" t="s">
        <v>430</v>
      </c>
      <c r="C22" s="192"/>
      <c r="D22" s="144"/>
      <c r="E22" s="8" t="s">
        <v>458</v>
      </c>
      <c r="F22" s="87" t="s">
        <v>411</v>
      </c>
      <c r="G22" s="65" t="s">
        <v>63</v>
      </c>
      <c r="H22" s="102" t="s">
        <v>34</v>
      </c>
      <c r="I22" s="8" t="str">
        <f t="shared" si="0"/>
        <v>PROTOCOLO DE PINTURA GSI-PROTO-011 Ver. 00 de fecha 7/07/2025</v>
      </c>
      <c r="J22" s="103"/>
      <c r="K22" s="68" t="s">
        <v>36</v>
      </c>
      <c r="L22" s="11"/>
      <c r="M22" s="11" t="s">
        <v>413</v>
      </c>
      <c r="N22" s="11" t="s">
        <v>38</v>
      </c>
      <c r="O22" s="11" t="s">
        <v>91</v>
      </c>
      <c r="P22" s="11" t="s">
        <v>40</v>
      </c>
      <c r="Q22" s="68" t="s">
        <v>41</v>
      </c>
      <c r="R22" s="69" t="s">
        <v>394</v>
      </c>
    </row>
    <row r="23" spans="1:18" ht="60" x14ac:dyDescent="0.2">
      <c r="A23" s="113">
        <v>11</v>
      </c>
      <c r="B23" s="191" t="s">
        <v>431</v>
      </c>
      <c r="C23" s="192"/>
      <c r="D23" s="144"/>
      <c r="E23" s="8" t="s">
        <v>458</v>
      </c>
      <c r="F23" s="87" t="s">
        <v>411</v>
      </c>
      <c r="G23" s="9" t="s">
        <v>109</v>
      </c>
      <c r="H23" s="102" t="s">
        <v>34</v>
      </c>
      <c r="I23" s="8" t="str">
        <f t="shared" si="0"/>
        <v>TABIQUERIA DRYWAL GSI-PROTO-012 Ver. 00 de fecha 7/07/2025</v>
      </c>
      <c r="J23" s="103"/>
      <c r="K23" s="68" t="s">
        <v>36</v>
      </c>
      <c r="L23" s="11"/>
      <c r="M23" s="11" t="s">
        <v>413</v>
      </c>
      <c r="N23" s="11" t="s">
        <v>38</v>
      </c>
      <c r="O23" s="11" t="s">
        <v>91</v>
      </c>
      <c r="P23" s="11" t="s">
        <v>40</v>
      </c>
      <c r="Q23" s="68" t="s">
        <v>41</v>
      </c>
      <c r="R23" s="69" t="s">
        <v>394</v>
      </c>
    </row>
    <row r="24" spans="1:18" ht="60" x14ac:dyDescent="0.2">
      <c r="A24" s="18">
        <v>12</v>
      </c>
      <c r="B24" s="191" t="s">
        <v>435</v>
      </c>
      <c r="C24" s="192"/>
      <c r="D24" s="144"/>
      <c r="E24" s="8" t="s">
        <v>458</v>
      </c>
      <c r="F24" s="87" t="s">
        <v>411</v>
      </c>
      <c r="G24" s="65" t="s">
        <v>111</v>
      </c>
      <c r="H24" s="102" t="s">
        <v>34</v>
      </c>
      <c r="I24" s="8" t="str">
        <f t="shared" si="0"/>
        <v>FABRICACIÓN Y ESAMBLAJE DE DUCTOS METALICOS GSI-PROTO-013 Ver. 00 de fecha 7/07/2025</v>
      </c>
      <c r="J24" s="103"/>
      <c r="K24" s="68" t="s">
        <v>36</v>
      </c>
      <c r="L24" s="11"/>
      <c r="M24" s="11" t="s">
        <v>413</v>
      </c>
      <c r="N24" s="11" t="s">
        <v>38</v>
      </c>
      <c r="O24" s="11" t="s">
        <v>91</v>
      </c>
      <c r="P24" s="11" t="s">
        <v>40</v>
      </c>
      <c r="Q24" s="68" t="s">
        <v>41</v>
      </c>
      <c r="R24" s="69" t="s">
        <v>394</v>
      </c>
    </row>
    <row r="25" spans="1:18" ht="60" x14ac:dyDescent="0.2">
      <c r="A25" s="89">
        <v>13</v>
      </c>
      <c r="B25" s="191" t="s">
        <v>436</v>
      </c>
      <c r="C25" s="192"/>
      <c r="D25" s="144"/>
      <c r="E25" s="8" t="s">
        <v>458</v>
      </c>
      <c r="F25" s="87" t="s">
        <v>411</v>
      </c>
      <c r="G25" s="9" t="s">
        <v>113</v>
      </c>
      <c r="H25" s="102" t="s">
        <v>34</v>
      </c>
      <c r="I25" s="8" t="str">
        <f t="shared" si="0"/>
        <v>FORRADO DE DUCTOS CON FIBRA DE VIDRIO GSI-PROTO-014 Ver. 00 de fecha 7/07/2025</v>
      </c>
      <c r="J25" s="103"/>
      <c r="K25" s="68" t="s">
        <v>36</v>
      </c>
      <c r="L25" s="11"/>
      <c r="M25" s="11" t="s">
        <v>413</v>
      </c>
      <c r="N25" s="11" t="s">
        <v>38</v>
      </c>
      <c r="O25" s="11" t="s">
        <v>91</v>
      </c>
      <c r="P25" s="11" t="s">
        <v>40</v>
      </c>
      <c r="Q25" s="68" t="s">
        <v>41</v>
      </c>
      <c r="R25" s="69" t="s">
        <v>394</v>
      </c>
    </row>
    <row r="26" spans="1:18" ht="60" x14ac:dyDescent="0.2">
      <c r="A26" s="93">
        <v>14</v>
      </c>
      <c r="B26" s="191" t="s">
        <v>437</v>
      </c>
      <c r="C26" s="192"/>
      <c r="D26" s="144"/>
      <c r="E26" s="8" t="s">
        <v>458</v>
      </c>
      <c r="F26" s="87" t="s">
        <v>411</v>
      </c>
      <c r="G26" s="65" t="s">
        <v>115</v>
      </c>
      <c r="H26" s="102" t="s">
        <v>34</v>
      </c>
      <c r="I26" s="8" t="str">
        <f t="shared" si="0"/>
        <v>PINTADO DE TUBERIAS DEL SISTEMA AIRE INDUSTRIAL GSI-PROTO-015 Ver. 00 de fecha 7/07/2025</v>
      </c>
      <c r="J26" s="103"/>
      <c r="K26" s="68" t="s">
        <v>36</v>
      </c>
      <c r="L26" s="11"/>
      <c r="M26" s="11" t="s">
        <v>413</v>
      </c>
      <c r="N26" s="11" t="s">
        <v>38</v>
      </c>
      <c r="O26" s="11" t="s">
        <v>91</v>
      </c>
      <c r="P26" s="11" t="s">
        <v>40</v>
      </c>
      <c r="Q26" s="68" t="s">
        <v>41</v>
      </c>
      <c r="R26" s="69" t="s">
        <v>394</v>
      </c>
    </row>
    <row r="27" spans="1:18" ht="60" x14ac:dyDescent="0.2">
      <c r="A27" s="93">
        <v>15</v>
      </c>
      <c r="B27" s="191" t="s">
        <v>438</v>
      </c>
      <c r="C27" s="192"/>
      <c r="D27" s="144"/>
      <c r="E27" s="8" t="s">
        <v>458</v>
      </c>
      <c r="F27" s="87" t="s">
        <v>411</v>
      </c>
      <c r="G27" s="9" t="s">
        <v>117</v>
      </c>
      <c r="H27" s="102" t="s">
        <v>34</v>
      </c>
      <c r="I27" s="8" t="str">
        <f t="shared" si="0"/>
        <v>INSTALACION TUBERIA AGUA CALIENTE GSI-PROTO-016 Ver. 00 de fecha 7/07/2025</v>
      </c>
      <c r="J27" s="103"/>
      <c r="K27" s="68" t="s">
        <v>36</v>
      </c>
      <c r="L27" s="11"/>
      <c r="M27" s="11" t="s">
        <v>413</v>
      </c>
      <c r="N27" s="11" t="s">
        <v>38</v>
      </c>
      <c r="O27" s="11" t="s">
        <v>91</v>
      </c>
      <c r="P27" s="11" t="s">
        <v>40</v>
      </c>
      <c r="Q27" s="68" t="s">
        <v>41</v>
      </c>
      <c r="R27" s="69" t="s">
        <v>394</v>
      </c>
    </row>
    <row r="28" spans="1:18" ht="60" x14ac:dyDescent="0.2">
      <c r="A28" s="96">
        <v>16</v>
      </c>
      <c r="B28" s="191" t="s">
        <v>439</v>
      </c>
      <c r="C28" s="192"/>
      <c r="D28" s="144"/>
      <c r="E28" s="8" t="s">
        <v>458</v>
      </c>
      <c r="F28" s="87" t="s">
        <v>411</v>
      </c>
      <c r="G28" s="65" t="s">
        <v>120</v>
      </c>
      <c r="H28" s="102" t="s">
        <v>34</v>
      </c>
      <c r="I28" s="8" t="str">
        <f t="shared" si="0"/>
        <v>MONTANJE Y ESAMBLAJE DE TUBERIA DE COBRE RED DE VACIO GSI-PROTO-017 Ver. 00 de fecha 7/07/2025</v>
      </c>
      <c r="J28" s="103"/>
      <c r="K28" s="68" t="s">
        <v>36</v>
      </c>
      <c r="L28" s="11"/>
      <c r="M28" s="11" t="s">
        <v>413</v>
      </c>
      <c r="N28" s="11" t="s">
        <v>38</v>
      </c>
      <c r="O28" s="11" t="s">
        <v>91</v>
      </c>
      <c r="P28" s="11" t="s">
        <v>40</v>
      </c>
      <c r="Q28" s="68" t="s">
        <v>41</v>
      </c>
      <c r="R28" s="69" t="s">
        <v>394</v>
      </c>
    </row>
    <row r="29" spans="1:18" ht="60" x14ac:dyDescent="0.2">
      <c r="A29" s="96">
        <v>17</v>
      </c>
      <c r="B29" s="191" t="s">
        <v>440</v>
      </c>
      <c r="C29" s="192"/>
      <c r="D29" s="144"/>
      <c r="E29" s="8" t="s">
        <v>458</v>
      </c>
      <c r="F29" s="87" t="s">
        <v>411</v>
      </c>
      <c r="G29" s="9" t="s">
        <v>234</v>
      </c>
      <c r="H29" s="102" t="s">
        <v>34</v>
      </c>
      <c r="I29" s="8" t="str">
        <f t="shared" si="0"/>
        <v>MONTAJE Y ESAMBLAJE DE TUBERIA DE COBRE RED AIRE MEDICINAL GSI-PROTO-018 Ver. 00 de fecha 7/07/2025</v>
      </c>
      <c r="J29" s="103"/>
      <c r="K29" s="68" t="s">
        <v>36</v>
      </c>
      <c r="L29" s="11"/>
      <c r="M29" s="11" t="s">
        <v>413</v>
      </c>
      <c r="N29" s="11" t="s">
        <v>38</v>
      </c>
      <c r="O29" s="11" t="s">
        <v>91</v>
      </c>
      <c r="P29" s="11" t="s">
        <v>40</v>
      </c>
      <c r="Q29" s="68" t="s">
        <v>41</v>
      </c>
      <c r="R29" s="69" t="s">
        <v>394</v>
      </c>
    </row>
    <row r="30" spans="1:18" ht="60" x14ac:dyDescent="0.2">
      <c r="A30" s="96">
        <v>18</v>
      </c>
      <c r="B30" s="191" t="s">
        <v>441</v>
      </c>
      <c r="C30" s="192"/>
      <c r="D30" s="144"/>
      <c r="E30" s="8" t="s">
        <v>458</v>
      </c>
      <c r="F30" s="87" t="s">
        <v>411</v>
      </c>
      <c r="G30" s="65" t="s">
        <v>122</v>
      </c>
      <c r="H30" s="102" t="s">
        <v>34</v>
      </c>
      <c r="I30" s="8" t="str">
        <f t="shared" si="0"/>
        <v>MONTAJE Y ESAMBLAJE DE TUBERIA DE COBRE RED AIRE INDUSTRIAL GSI-PROTO-019 Ver. 00 de fecha 7/07/2025</v>
      </c>
      <c r="J30" s="103"/>
      <c r="K30" s="68" t="s">
        <v>36</v>
      </c>
      <c r="L30" s="11"/>
      <c r="M30" s="11" t="s">
        <v>413</v>
      </c>
      <c r="N30" s="11" t="s">
        <v>38</v>
      </c>
      <c r="O30" s="11" t="s">
        <v>91</v>
      </c>
      <c r="P30" s="11" t="s">
        <v>40</v>
      </c>
      <c r="Q30" s="68" t="s">
        <v>41</v>
      </c>
      <c r="R30" s="69" t="s">
        <v>394</v>
      </c>
    </row>
    <row r="31" spans="1:18" ht="60" x14ac:dyDescent="0.2">
      <c r="A31" s="96">
        <v>19</v>
      </c>
      <c r="B31" s="191" t="s">
        <v>442</v>
      </c>
      <c r="C31" s="192"/>
      <c r="D31" s="144"/>
      <c r="E31" s="8" t="s">
        <v>458</v>
      </c>
      <c r="F31" s="87" t="s">
        <v>411</v>
      </c>
      <c r="G31" s="9" t="s">
        <v>125</v>
      </c>
      <c r="H31" s="102" t="s">
        <v>34</v>
      </c>
      <c r="I31" s="8" t="str">
        <f t="shared" si="0"/>
        <v>MONTAJE Y ESAMBLAJE DE TUBERIA DE COBRE RED EVAC UACIONES DE GASES GSI-PROTO-020 Ver. 00 de fecha 7/07/2025</v>
      </c>
      <c r="J31" s="103"/>
      <c r="K31" s="68" t="s">
        <v>36</v>
      </c>
      <c r="L31" s="11"/>
      <c r="M31" s="11" t="s">
        <v>413</v>
      </c>
      <c r="N31" s="11" t="s">
        <v>38</v>
      </c>
      <c r="O31" s="11" t="s">
        <v>91</v>
      </c>
      <c r="P31" s="11" t="s">
        <v>40</v>
      </c>
      <c r="Q31" s="68" t="s">
        <v>41</v>
      </c>
      <c r="R31" s="69" t="s">
        <v>394</v>
      </c>
    </row>
    <row r="32" spans="1:18" ht="60" x14ac:dyDescent="0.2">
      <c r="A32" s="96">
        <v>20</v>
      </c>
      <c r="B32" s="191" t="s">
        <v>443</v>
      </c>
      <c r="C32" s="192"/>
      <c r="D32" s="144"/>
      <c r="E32" s="8" t="s">
        <v>458</v>
      </c>
      <c r="F32" s="87" t="s">
        <v>411</v>
      </c>
      <c r="G32" s="65" t="s">
        <v>127</v>
      </c>
      <c r="H32" s="102" t="s">
        <v>34</v>
      </c>
      <c r="I32" s="8" t="str">
        <f t="shared" si="0"/>
        <v>MONTAJE Y ESAMBLAJE DE TUBERIA DE COBRE RED GLP GSI-PROTO-021 Ver. 00 de fecha 7/07/2025</v>
      </c>
      <c r="J32" s="103"/>
      <c r="K32" s="68" t="s">
        <v>36</v>
      </c>
      <c r="L32" s="11"/>
      <c r="M32" s="11" t="s">
        <v>413</v>
      </c>
      <c r="N32" s="11" t="s">
        <v>38</v>
      </c>
      <c r="O32" s="11" t="s">
        <v>91</v>
      </c>
      <c r="P32" s="11" t="s">
        <v>40</v>
      </c>
      <c r="Q32" s="68" t="s">
        <v>41</v>
      </c>
      <c r="R32" s="69" t="s">
        <v>394</v>
      </c>
    </row>
    <row r="33" spans="1:18" ht="60" x14ac:dyDescent="0.2">
      <c r="A33" s="96">
        <v>21</v>
      </c>
      <c r="B33" s="191" t="s">
        <v>444</v>
      </c>
      <c r="C33" s="192"/>
      <c r="D33" s="144"/>
      <c r="E33" s="8" t="s">
        <v>458</v>
      </c>
      <c r="F33" s="87" t="s">
        <v>411</v>
      </c>
      <c r="G33" s="9" t="s">
        <v>129</v>
      </c>
      <c r="H33" s="102" t="s">
        <v>34</v>
      </c>
      <c r="I33" s="8" t="str">
        <f t="shared" si="0"/>
        <v>MONTAJE Y ESAMBLAJE DE TUBERIA SCH 40 RED DE PETROLEO GSI-PROTO-022 Ver. 00 de fecha 7/07/2025</v>
      </c>
      <c r="J33" s="103"/>
      <c r="K33" s="68" t="s">
        <v>36</v>
      </c>
      <c r="L33" s="11"/>
      <c r="M33" s="11" t="s">
        <v>413</v>
      </c>
      <c r="N33" s="11" t="s">
        <v>38</v>
      </c>
      <c r="O33" s="11" t="s">
        <v>91</v>
      </c>
      <c r="P33" s="11" t="s">
        <v>40</v>
      </c>
      <c r="Q33" s="68" t="s">
        <v>41</v>
      </c>
      <c r="R33" s="69" t="s">
        <v>394</v>
      </c>
    </row>
    <row r="34" spans="1:18" ht="60" x14ac:dyDescent="0.2">
      <c r="A34" s="96">
        <v>22</v>
      </c>
      <c r="B34" s="191" t="s">
        <v>445</v>
      </c>
      <c r="C34" s="192"/>
      <c r="D34" s="144"/>
      <c r="E34" s="8" t="s">
        <v>458</v>
      </c>
      <c r="F34" s="87" t="s">
        <v>411</v>
      </c>
      <c r="G34" s="65" t="s">
        <v>132</v>
      </c>
      <c r="H34" s="102" t="s">
        <v>34</v>
      </c>
      <c r="I34" s="8" t="str">
        <f t="shared" si="0"/>
        <v>MONTAJE Y ESAMBLAJE DE TUBERIA SCH 40 RED DE AGUA CALIENTE GSI-PROTO-023 Ver. 00 de fecha 7/07/2025</v>
      </c>
      <c r="J34" s="103"/>
      <c r="K34" s="68" t="s">
        <v>36</v>
      </c>
      <c r="L34" s="11"/>
      <c r="M34" s="11" t="s">
        <v>413</v>
      </c>
      <c r="N34" s="11" t="s">
        <v>38</v>
      </c>
      <c r="O34" s="11" t="s">
        <v>91</v>
      </c>
      <c r="P34" s="11" t="s">
        <v>40</v>
      </c>
      <c r="Q34" s="68" t="s">
        <v>41</v>
      </c>
      <c r="R34" s="69" t="s">
        <v>394</v>
      </c>
    </row>
    <row r="35" spans="1:18" ht="60" x14ac:dyDescent="0.2">
      <c r="A35" s="96">
        <v>23</v>
      </c>
      <c r="B35" s="191" t="s">
        <v>446</v>
      </c>
      <c r="C35" s="192"/>
      <c r="D35" s="144"/>
      <c r="E35" s="8" t="s">
        <v>458</v>
      </c>
      <c r="F35" s="87" t="s">
        <v>411</v>
      </c>
      <c r="G35" s="9" t="s">
        <v>134</v>
      </c>
      <c r="H35" s="102" t="s">
        <v>34</v>
      </c>
      <c r="I35" s="8" t="str">
        <f t="shared" si="0"/>
        <v>MONTAJE Y ESAMBLAJE DE TUBERIA OXIGENO GSI-PROTO-024 Ver. 00 de fecha 7/07/2025</v>
      </c>
      <c r="J35" s="103"/>
      <c r="K35" s="68" t="s">
        <v>36</v>
      </c>
      <c r="L35" s="11"/>
      <c r="M35" s="11" t="s">
        <v>413</v>
      </c>
      <c r="N35" s="11" t="s">
        <v>38</v>
      </c>
      <c r="O35" s="11" t="s">
        <v>91</v>
      </c>
      <c r="P35" s="11" t="s">
        <v>40</v>
      </c>
      <c r="Q35" s="68" t="s">
        <v>41</v>
      </c>
      <c r="R35" s="69" t="s">
        <v>394</v>
      </c>
    </row>
    <row r="36" spans="1:18" ht="60" x14ac:dyDescent="0.2">
      <c r="A36" s="96">
        <v>24</v>
      </c>
      <c r="B36" s="191" t="s">
        <v>447</v>
      </c>
      <c r="C36" s="192"/>
      <c r="D36" s="144"/>
      <c r="E36" s="8" t="s">
        <v>458</v>
      </c>
      <c r="F36" s="87" t="s">
        <v>411</v>
      </c>
      <c r="G36" s="65" t="s">
        <v>136</v>
      </c>
      <c r="H36" s="102" t="s">
        <v>34</v>
      </c>
      <c r="I36" s="8" t="str">
        <f t="shared" si="0"/>
        <v>PINTADO DE TUBERIAS GASES MEDICINALES AIRE MEDICINAL GSI-PROTO-025 Ver. 00 de fecha 7/07/2025</v>
      </c>
      <c r="J36" s="103"/>
      <c r="K36" s="68" t="s">
        <v>36</v>
      </c>
      <c r="L36" s="11"/>
      <c r="M36" s="11" t="s">
        <v>413</v>
      </c>
      <c r="N36" s="11" t="s">
        <v>38</v>
      </c>
      <c r="O36" s="11" t="s">
        <v>91</v>
      </c>
      <c r="P36" s="11" t="s">
        <v>40</v>
      </c>
      <c r="Q36" s="68" t="s">
        <v>41</v>
      </c>
      <c r="R36" s="69" t="s">
        <v>394</v>
      </c>
    </row>
    <row r="37" spans="1:18" ht="60" x14ac:dyDescent="0.2">
      <c r="A37" s="96">
        <v>25</v>
      </c>
      <c r="B37" s="191" t="s">
        <v>448</v>
      </c>
      <c r="C37" s="192"/>
      <c r="D37" s="144"/>
      <c r="E37" s="8" t="s">
        <v>458</v>
      </c>
      <c r="F37" s="87" t="s">
        <v>411</v>
      </c>
      <c r="G37" s="65" t="s">
        <v>138</v>
      </c>
      <c r="H37" s="102" t="s">
        <v>421</v>
      </c>
      <c r="I37" s="8" t="str">
        <f t="shared" si="0"/>
        <v>PINTADO DE TUBERIAS GASES MEDICINALES OXIGENO GSI-PROTO-026 Ver. 01 de fecha 7/07/2025</v>
      </c>
      <c r="J37" s="103"/>
      <c r="K37" s="68" t="s">
        <v>36</v>
      </c>
      <c r="L37" s="11"/>
      <c r="M37" s="11" t="s">
        <v>413</v>
      </c>
      <c r="N37" s="11" t="s">
        <v>38</v>
      </c>
      <c r="O37" s="11" t="s">
        <v>91</v>
      </c>
      <c r="P37" s="11" t="s">
        <v>40</v>
      </c>
      <c r="Q37" s="68" t="s">
        <v>41</v>
      </c>
      <c r="R37" s="69" t="s">
        <v>394</v>
      </c>
    </row>
    <row r="38" spans="1:18" ht="60" x14ac:dyDescent="0.2">
      <c r="A38" s="96">
        <v>26</v>
      </c>
      <c r="B38" s="191" t="s">
        <v>449</v>
      </c>
      <c r="C38" s="192"/>
      <c r="D38" s="144"/>
      <c r="E38" s="8" t="s">
        <v>458</v>
      </c>
      <c r="F38" s="87" t="s">
        <v>411</v>
      </c>
      <c r="G38" s="65" t="s">
        <v>140</v>
      </c>
      <c r="H38" s="102" t="s">
        <v>422</v>
      </c>
      <c r="I38" s="8" t="str">
        <f t="shared" si="0"/>
        <v>PINTADO DE TUBERIAS GASES MEDICINALES VACIO GSI-PROTO-027 Ver. 02 de fecha 7/07/2025</v>
      </c>
      <c r="J38" s="103"/>
      <c r="K38" s="68" t="s">
        <v>36</v>
      </c>
      <c r="L38" s="11"/>
      <c r="M38" s="11" t="s">
        <v>413</v>
      </c>
      <c r="N38" s="11" t="s">
        <v>38</v>
      </c>
      <c r="O38" s="11" t="s">
        <v>91</v>
      </c>
      <c r="P38" s="11" t="s">
        <v>40</v>
      </c>
      <c r="Q38" s="68" t="s">
        <v>41</v>
      </c>
      <c r="R38" s="69" t="s">
        <v>394</v>
      </c>
    </row>
    <row r="39" spans="1:18" ht="60" x14ac:dyDescent="0.2">
      <c r="A39" s="96">
        <v>27</v>
      </c>
      <c r="B39" s="191" t="s">
        <v>450</v>
      </c>
      <c r="C39" s="192"/>
      <c r="D39" s="144"/>
      <c r="E39" s="8" t="s">
        <v>458</v>
      </c>
      <c r="F39" s="87" t="s">
        <v>411</v>
      </c>
      <c r="G39" s="65" t="s">
        <v>143</v>
      </c>
      <c r="H39" s="102" t="s">
        <v>423</v>
      </c>
      <c r="I39" s="8" t="str">
        <f t="shared" si="0"/>
        <v>PRESION DE AIRE INDUSTRIAL GSI-PROTO-028 Ver. 03 de fecha 7/07/2025</v>
      </c>
      <c r="J39" s="103"/>
      <c r="K39" s="68" t="s">
        <v>36</v>
      </c>
      <c r="L39" s="11"/>
      <c r="M39" s="11" t="s">
        <v>413</v>
      </c>
      <c r="N39" s="11" t="s">
        <v>38</v>
      </c>
      <c r="O39" s="11" t="s">
        <v>91</v>
      </c>
      <c r="P39" s="11" t="s">
        <v>40</v>
      </c>
      <c r="Q39" s="68" t="s">
        <v>41</v>
      </c>
      <c r="R39" s="69" t="s">
        <v>394</v>
      </c>
    </row>
    <row r="40" spans="1:18" ht="60" x14ac:dyDescent="0.2">
      <c r="A40" s="96">
        <v>28</v>
      </c>
      <c r="B40" s="191" t="s">
        <v>451</v>
      </c>
      <c r="C40" s="192"/>
      <c r="D40" s="144"/>
      <c r="E40" s="8" t="s">
        <v>458</v>
      </c>
      <c r="F40" s="87" t="s">
        <v>411</v>
      </c>
      <c r="G40" s="65" t="s">
        <v>145</v>
      </c>
      <c r="H40" s="102" t="s">
        <v>424</v>
      </c>
      <c r="I40" s="8" t="str">
        <f t="shared" si="0"/>
        <v>PRESION DE AIRE MEDICINAL GSI-PROTO-029 Ver. 04 de fecha 7/07/2025</v>
      </c>
      <c r="J40" s="103"/>
      <c r="K40" s="68" t="s">
        <v>36</v>
      </c>
      <c r="L40" s="11"/>
      <c r="M40" s="11" t="s">
        <v>413</v>
      </c>
      <c r="N40" s="11" t="s">
        <v>38</v>
      </c>
      <c r="O40" s="11" t="s">
        <v>91</v>
      </c>
      <c r="P40" s="11" t="s">
        <v>40</v>
      </c>
      <c r="Q40" s="68" t="s">
        <v>41</v>
      </c>
      <c r="R40" s="69" t="s">
        <v>394</v>
      </c>
    </row>
    <row r="41" spans="1:18" ht="60" x14ac:dyDescent="0.2">
      <c r="A41" s="96">
        <v>29</v>
      </c>
      <c r="B41" s="191" t="s">
        <v>452</v>
      </c>
      <c r="C41" s="192"/>
      <c r="D41" s="144"/>
      <c r="E41" s="8" t="s">
        <v>458</v>
      </c>
      <c r="F41" s="87" t="s">
        <v>411</v>
      </c>
      <c r="G41" s="65" t="s">
        <v>147</v>
      </c>
      <c r="H41" s="102" t="s">
        <v>425</v>
      </c>
      <c r="I41" s="8" t="str">
        <f t="shared" si="0"/>
        <v>PRESION DE EVACUACION DE GASES GSI-PROTO-030 Ver. 05 de fecha 7/07/2025</v>
      </c>
      <c r="J41" s="103"/>
      <c r="K41" s="68" t="s">
        <v>36</v>
      </c>
      <c r="L41" s="11"/>
      <c r="M41" s="11" t="s">
        <v>413</v>
      </c>
      <c r="N41" s="11" t="s">
        <v>38</v>
      </c>
      <c r="O41" s="11" t="s">
        <v>91</v>
      </c>
      <c r="P41" s="11" t="s">
        <v>40</v>
      </c>
      <c r="Q41" s="68" t="s">
        <v>41</v>
      </c>
      <c r="R41" s="69" t="s">
        <v>394</v>
      </c>
    </row>
    <row r="42" spans="1:18" ht="60" x14ac:dyDescent="0.2">
      <c r="A42" s="96">
        <v>30</v>
      </c>
      <c r="B42" s="191" t="s">
        <v>453</v>
      </c>
      <c r="C42" s="192"/>
      <c r="D42" s="144"/>
      <c r="E42" s="8" t="s">
        <v>458</v>
      </c>
      <c r="F42" s="87" t="s">
        <v>411</v>
      </c>
      <c r="G42" s="65" t="s">
        <v>149</v>
      </c>
      <c r="H42" s="102" t="s">
        <v>426</v>
      </c>
      <c r="I42" s="8" t="str">
        <f t="shared" si="0"/>
        <v>PRESION DE HVAC GSI-PROTO-031 Ver. 06 de fecha 7/07/2025</v>
      </c>
      <c r="J42" s="103"/>
      <c r="K42" s="68" t="s">
        <v>36</v>
      </c>
      <c r="L42" s="11"/>
      <c r="M42" s="11" t="s">
        <v>413</v>
      </c>
      <c r="N42" s="11" t="s">
        <v>38</v>
      </c>
      <c r="O42" s="11" t="s">
        <v>91</v>
      </c>
      <c r="P42" s="11" t="s">
        <v>40</v>
      </c>
      <c r="Q42" s="68" t="s">
        <v>41</v>
      </c>
      <c r="R42" s="69" t="s">
        <v>394</v>
      </c>
    </row>
    <row r="43" spans="1:18" ht="60" x14ac:dyDescent="0.2">
      <c r="A43" s="96">
        <v>31</v>
      </c>
      <c r="B43" s="191" t="s">
        <v>454</v>
      </c>
      <c r="C43" s="192"/>
      <c r="D43" s="144"/>
      <c r="E43" s="8" t="s">
        <v>458</v>
      </c>
      <c r="F43" s="87" t="s">
        <v>411</v>
      </c>
      <c r="G43" s="65" t="s">
        <v>151</v>
      </c>
      <c r="H43" s="102" t="s">
        <v>432</v>
      </c>
      <c r="I43" s="8" t="str">
        <f t="shared" si="0"/>
        <v>PRESION DE OXIGENO GSI-PROTO-032 Ver. 07 de fecha 7/07/2025</v>
      </c>
      <c r="J43" s="103"/>
      <c r="K43" s="68" t="s">
        <v>36</v>
      </c>
      <c r="L43" s="11"/>
      <c r="M43" s="11" t="s">
        <v>413</v>
      </c>
      <c r="N43" s="11" t="s">
        <v>38</v>
      </c>
      <c r="O43" s="11" t="s">
        <v>91</v>
      </c>
      <c r="P43" s="11" t="s">
        <v>40</v>
      </c>
      <c r="Q43" s="68" t="s">
        <v>41</v>
      </c>
      <c r="R43" s="69" t="s">
        <v>394</v>
      </c>
    </row>
    <row r="44" spans="1:18" ht="60" x14ac:dyDescent="0.2">
      <c r="A44" s="96">
        <v>32</v>
      </c>
      <c r="B44" s="191" t="s">
        <v>455</v>
      </c>
      <c r="C44" s="192"/>
      <c r="D44" s="144"/>
      <c r="E44" s="8" t="s">
        <v>458</v>
      </c>
      <c r="F44" s="87" t="s">
        <v>411</v>
      </c>
      <c r="G44" s="65" t="s">
        <v>250</v>
      </c>
      <c r="H44" s="102" t="s">
        <v>433</v>
      </c>
      <c r="I44" s="8" t="str">
        <f t="shared" si="0"/>
        <v>PRUEBA DE CALEFACTOR GSI-PROTO-033 Ver. 08 de fecha 7/07/2025</v>
      </c>
      <c r="J44" s="103"/>
      <c r="K44" s="68" t="s">
        <v>36</v>
      </c>
      <c r="L44" s="11"/>
      <c r="M44" s="11" t="s">
        <v>413</v>
      </c>
      <c r="N44" s="11" t="s">
        <v>38</v>
      </c>
      <c r="O44" s="11" t="s">
        <v>91</v>
      </c>
      <c r="P44" s="11" t="s">
        <v>40</v>
      </c>
      <c r="Q44" s="68" t="s">
        <v>41</v>
      </c>
      <c r="R44" s="69" t="s">
        <v>394</v>
      </c>
    </row>
    <row r="45" spans="1:18" ht="60" x14ac:dyDescent="0.2">
      <c r="A45" s="96">
        <v>33</v>
      </c>
      <c r="B45" s="191" t="s">
        <v>456</v>
      </c>
      <c r="C45" s="192"/>
      <c r="D45" s="144"/>
      <c r="E45" s="8" t="s">
        <v>458</v>
      </c>
      <c r="F45" s="87" t="s">
        <v>411</v>
      </c>
      <c r="G45" s="65" t="s">
        <v>152</v>
      </c>
      <c r="H45" s="102" t="s">
        <v>434</v>
      </c>
      <c r="I45" s="8" t="str">
        <f t="shared" si="0"/>
        <v>PRUEBA DE INYECTORES GSI-PROTO-034 Ver. 09 de fecha 7/07/2025</v>
      </c>
      <c r="J45" s="103"/>
      <c r="K45" s="68" t="s">
        <v>36</v>
      </c>
      <c r="L45" s="11"/>
      <c r="M45" s="11" t="s">
        <v>413</v>
      </c>
      <c r="N45" s="11" t="s">
        <v>38</v>
      </c>
      <c r="O45" s="11" t="s">
        <v>91</v>
      </c>
      <c r="P45" s="11" t="s">
        <v>40</v>
      </c>
      <c r="Q45" s="68" t="s">
        <v>41</v>
      </c>
      <c r="R45" s="69" t="s">
        <v>394</v>
      </c>
    </row>
    <row r="46" spans="1:18" ht="60" x14ac:dyDescent="0.2">
      <c r="A46" s="96">
        <v>35</v>
      </c>
      <c r="B46" s="191" t="s">
        <v>460</v>
      </c>
      <c r="C46" s="192"/>
      <c r="D46" s="144"/>
      <c r="E46" s="8" t="s">
        <v>458</v>
      </c>
      <c r="F46" s="68" t="s">
        <v>411</v>
      </c>
      <c r="G46" s="65" t="s">
        <v>33</v>
      </c>
      <c r="H46" s="118" t="s">
        <v>34</v>
      </c>
      <c r="I46" s="8" t="str">
        <f t="shared" si="0"/>
        <v>PROTOCOLO DE CALIDAD GSI-PROTO-001 Ver. 00 de fecha 7/07/2025</v>
      </c>
      <c r="J46" s="119"/>
      <c r="K46" s="68" t="s">
        <v>412</v>
      </c>
      <c r="L46" s="68"/>
      <c r="M46" s="68" t="s">
        <v>413</v>
      </c>
      <c r="N46" s="68" t="s">
        <v>38</v>
      </c>
      <c r="O46" s="68" t="s">
        <v>91</v>
      </c>
      <c r="P46" s="68" t="s">
        <v>40</v>
      </c>
      <c r="Q46" s="68" t="s">
        <v>41</v>
      </c>
      <c r="R46" s="69" t="s">
        <v>394</v>
      </c>
    </row>
    <row r="47" spans="1:18" ht="60" x14ac:dyDescent="0.2">
      <c r="A47" s="96">
        <v>36</v>
      </c>
      <c r="B47" s="191" t="s">
        <v>400</v>
      </c>
      <c r="C47" s="192"/>
      <c r="D47" s="144"/>
      <c r="E47" s="8" t="s">
        <v>458</v>
      </c>
      <c r="F47" s="11" t="s">
        <v>411</v>
      </c>
      <c r="G47" s="9" t="s">
        <v>43</v>
      </c>
      <c r="H47" s="102" t="s">
        <v>34</v>
      </c>
      <c r="I47" s="8" t="str">
        <f t="shared" si="0"/>
        <v>PROTOCOLO DE CALIDAD DE DEMOLICIÓN Y DESMONTAJE GSI-PROTO-002 Ver. 00 de fecha 7/07/2025</v>
      </c>
      <c r="J47" s="103"/>
      <c r="K47" s="11" t="s">
        <v>412</v>
      </c>
      <c r="L47" s="11"/>
      <c r="M47" s="11" t="s">
        <v>413</v>
      </c>
      <c r="N47" s="11" t="s">
        <v>38</v>
      </c>
      <c r="O47" s="11" t="s">
        <v>91</v>
      </c>
      <c r="P47" s="11" t="s">
        <v>40</v>
      </c>
      <c r="Q47" s="11" t="s">
        <v>41</v>
      </c>
      <c r="R47" s="52" t="s">
        <v>394</v>
      </c>
    </row>
    <row r="48" spans="1:18" ht="60" x14ac:dyDescent="0.2">
      <c r="A48" s="96">
        <v>37</v>
      </c>
      <c r="B48" s="191" t="s">
        <v>401</v>
      </c>
      <c r="C48" s="192"/>
      <c r="D48" s="144"/>
      <c r="E48" s="8" t="s">
        <v>458</v>
      </c>
      <c r="F48" s="11" t="s">
        <v>411</v>
      </c>
      <c r="G48" s="9" t="s">
        <v>45</v>
      </c>
      <c r="H48" s="102" t="s">
        <v>34</v>
      </c>
      <c r="I48" s="8" t="str">
        <f t="shared" si="0"/>
        <v>PROTOCOLO DE ENCOFRADO GSI-PROTO-003 Ver. 00 de fecha 7/07/2025</v>
      </c>
      <c r="J48" s="103"/>
      <c r="K48" s="11" t="s">
        <v>412</v>
      </c>
      <c r="L48" s="11"/>
      <c r="M48" s="11" t="s">
        <v>413</v>
      </c>
      <c r="N48" s="11" t="s">
        <v>38</v>
      </c>
      <c r="O48" s="11" t="s">
        <v>91</v>
      </c>
      <c r="P48" s="11" t="s">
        <v>40</v>
      </c>
      <c r="Q48" s="11" t="s">
        <v>41</v>
      </c>
      <c r="R48" s="52" t="s">
        <v>394</v>
      </c>
    </row>
    <row r="49" spans="1:18" ht="60" x14ac:dyDescent="0.2">
      <c r="A49" s="96">
        <v>38</v>
      </c>
      <c r="B49" s="191" t="s">
        <v>402</v>
      </c>
      <c r="C49" s="192"/>
      <c r="D49" s="144"/>
      <c r="E49" s="8" t="s">
        <v>458</v>
      </c>
      <c r="F49" s="11" t="s">
        <v>411</v>
      </c>
      <c r="G49" s="9" t="s">
        <v>47</v>
      </c>
      <c r="H49" s="102" t="s">
        <v>34</v>
      </c>
      <c r="I49" s="8" t="str">
        <f t="shared" si="0"/>
        <v>PROTOCOLO DE EXCAVACIÓN GSI-PROTO-004 Ver. 00 de fecha 7/07/2025</v>
      </c>
      <c r="J49" s="103"/>
      <c r="K49" s="11" t="s">
        <v>412</v>
      </c>
      <c r="L49" s="11"/>
      <c r="M49" s="11" t="s">
        <v>413</v>
      </c>
      <c r="N49" s="11" t="s">
        <v>38</v>
      </c>
      <c r="O49" s="11" t="s">
        <v>91</v>
      </c>
      <c r="P49" s="11" t="s">
        <v>40</v>
      </c>
      <c r="Q49" s="11" t="s">
        <v>41</v>
      </c>
      <c r="R49" s="52" t="s">
        <v>394</v>
      </c>
    </row>
    <row r="50" spans="1:18" ht="60" x14ac:dyDescent="0.2">
      <c r="A50" s="96">
        <v>39</v>
      </c>
      <c r="B50" s="191" t="s">
        <v>403</v>
      </c>
      <c r="C50" s="192"/>
      <c r="D50" s="144"/>
      <c r="E50" s="8" t="s">
        <v>458</v>
      </c>
      <c r="F50" s="11" t="s">
        <v>411</v>
      </c>
      <c r="G50" s="9" t="s">
        <v>49</v>
      </c>
      <c r="H50" s="102" t="s">
        <v>34</v>
      </c>
      <c r="I50" s="8" t="str">
        <f t="shared" si="0"/>
        <v>PROTOCOLO DE HABILITACIÓN DE ACERO  GSI-PROTO-005 Ver. 00 de fecha 7/07/2025</v>
      </c>
      <c r="J50" s="103"/>
      <c r="K50" s="11" t="s">
        <v>412</v>
      </c>
      <c r="L50" s="11"/>
      <c r="M50" s="11" t="s">
        <v>413</v>
      </c>
      <c r="N50" s="11" t="s">
        <v>38</v>
      </c>
      <c r="O50" s="11" t="s">
        <v>91</v>
      </c>
      <c r="P50" s="11" t="s">
        <v>40</v>
      </c>
      <c r="Q50" s="11" t="s">
        <v>41</v>
      </c>
      <c r="R50" s="52" t="s">
        <v>394</v>
      </c>
    </row>
    <row r="51" spans="1:18" ht="60" x14ac:dyDescent="0.2">
      <c r="A51" s="96">
        <v>40</v>
      </c>
      <c r="B51" s="191" t="s">
        <v>404</v>
      </c>
      <c r="C51" s="192"/>
      <c r="D51" s="144"/>
      <c r="E51" s="8" t="s">
        <v>458</v>
      </c>
      <c r="F51" s="11" t="s">
        <v>411</v>
      </c>
      <c r="G51" s="9" t="s">
        <v>51</v>
      </c>
      <c r="H51" s="102" t="s">
        <v>34</v>
      </c>
      <c r="I51" s="8" t="str">
        <f t="shared" si="0"/>
        <v>PROTOCOLO DE INSTALACIÓN DE LÍNEA DE CONDUCCIÓN GSI-PROTO-006 Ver. 00 de fecha 7/07/2025</v>
      </c>
      <c r="J51" s="103"/>
      <c r="K51" s="11" t="s">
        <v>412</v>
      </c>
      <c r="L51" s="11"/>
      <c r="M51" s="11" t="s">
        <v>413</v>
      </c>
      <c r="N51" s="11" t="s">
        <v>38</v>
      </c>
      <c r="O51" s="11" t="s">
        <v>91</v>
      </c>
      <c r="P51" s="11" t="s">
        <v>40</v>
      </c>
      <c r="Q51" s="11" t="s">
        <v>41</v>
      </c>
      <c r="R51" s="52" t="s">
        <v>394</v>
      </c>
    </row>
    <row r="52" spans="1:18" ht="60" x14ac:dyDescent="0.2">
      <c r="A52" s="96">
        <v>41</v>
      </c>
      <c r="B52" s="191" t="s">
        <v>405</v>
      </c>
      <c r="C52" s="192"/>
      <c r="D52" s="144"/>
      <c r="E52" s="8" t="s">
        <v>458</v>
      </c>
      <c r="F52" s="11" t="s">
        <v>411</v>
      </c>
      <c r="G52" s="19" t="s">
        <v>53</v>
      </c>
      <c r="H52" s="102" t="s">
        <v>34</v>
      </c>
      <c r="I52" s="8" t="str">
        <f t="shared" si="0"/>
        <v>PROTOCOLO DE INSTALACIÓN DE POSTES GSI-PROTO-007 Ver. 00 de fecha 7/07/2025</v>
      </c>
      <c r="J52" s="103"/>
      <c r="K52" s="11" t="s">
        <v>412</v>
      </c>
      <c r="L52" s="11"/>
      <c r="M52" s="11" t="s">
        <v>413</v>
      </c>
      <c r="N52" s="11" t="s">
        <v>38</v>
      </c>
      <c r="O52" s="11" t="s">
        <v>91</v>
      </c>
      <c r="P52" s="11" t="s">
        <v>40</v>
      </c>
      <c r="Q52" s="11" t="s">
        <v>41</v>
      </c>
      <c r="R52" s="52" t="s">
        <v>394</v>
      </c>
    </row>
    <row r="53" spans="1:18" ht="60" x14ac:dyDescent="0.2">
      <c r="A53" s="96">
        <v>42</v>
      </c>
      <c r="B53" s="191" t="s">
        <v>406</v>
      </c>
      <c r="C53" s="192"/>
      <c r="D53" s="144"/>
      <c r="E53" s="8" t="s">
        <v>458</v>
      </c>
      <c r="F53" s="11" t="s">
        <v>411</v>
      </c>
      <c r="G53" s="9" t="s">
        <v>55</v>
      </c>
      <c r="H53" s="102" t="s">
        <v>34</v>
      </c>
      <c r="I53" s="8" t="str">
        <f t="shared" si="0"/>
        <v>PROTOCOLO DE INSTALACIÓN DE POZO A TIERRA GSI-PROTO-008 Ver. 00 de fecha 7/07/2025</v>
      </c>
      <c r="J53" s="103"/>
      <c r="K53" s="11" t="s">
        <v>412</v>
      </c>
      <c r="L53" s="11"/>
      <c r="M53" s="11" t="s">
        <v>413</v>
      </c>
      <c r="N53" s="11" t="s">
        <v>38</v>
      </c>
      <c r="O53" s="11" t="s">
        <v>91</v>
      </c>
      <c r="P53" s="11" t="s">
        <v>40</v>
      </c>
      <c r="Q53" s="11" t="s">
        <v>41</v>
      </c>
      <c r="R53" s="52" t="s">
        <v>394</v>
      </c>
    </row>
    <row r="54" spans="1:18" ht="60" x14ac:dyDescent="0.2">
      <c r="A54" s="96">
        <v>43</v>
      </c>
      <c r="B54" s="191" t="s">
        <v>407</v>
      </c>
      <c r="C54" s="192"/>
      <c r="D54" s="144"/>
      <c r="E54" s="8" t="s">
        <v>458</v>
      </c>
      <c r="F54" s="11" t="s">
        <v>411</v>
      </c>
      <c r="G54" s="9" t="s">
        <v>57</v>
      </c>
      <c r="H54" s="102" t="s">
        <v>34</v>
      </c>
      <c r="I54" s="8" t="str">
        <f t="shared" si="0"/>
        <v>PROTOCOLO DE PRUEBA HIDRAULICA EN TUBERIAS GSI-PROTO-009 Ver. 00 de fecha 7/07/2025</v>
      </c>
      <c r="J54" s="103"/>
      <c r="K54" s="11" t="s">
        <v>412</v>
      </c>
      <c r="L54" s="11"/>
      <c r="M54" s="11" t="s">
        <v>413</v>
      </c>
      <c r="N54" s="11" t="s">
        <v>38</v>
      </c>
      <c r="O54" s="11" t="s">
        <v>91</v>
      </c>
      <c r="P54" s="11" t="s">
        <v>40</v>
      </c>
      <c r="Q54" s="11" t="s">
        <v>41</v>
      </c>
      <c r="R54" s="52" t="s">
        <v>394</v>
      </c>
    </row>
    <row r="55" spans="1:18" ht="60" x14ac:dyDescent="0.2">
      <c r="A55" s="121">
        <v>44</v>
      </c>
      <c r="B55" s="191" t="s">
        <v>408</v>
      </c>
      <c r="C55" s="192"/>
      <c r="D55" s="144"/>
      <c r="E55" s="8" t="s">
        <v>458</v>
      </c>
      <c r="F55" s="11" t="s">
        <v>411</v>
      </c>
      <c r="G55" s="9" t="s">
        <v>61</v>
      </c>
      <c r="H55" s="102" t="s">
        <v>34</v>
      </c>
      <c r="I55" s="8" t="str">
        <f t="shared" si="0"/>
        <v>PROTOCOLO DE RELLENO Y COMPACTACIÓN GSI-PROTO-010 Ver. 00 de fecha 7/07/2025</v>
      </c>
      <c r="J55" s="103"/>
      <c r="K55" s="11" t="s">
        <v>412</v>
      </c>
      <c r="L55" s="11"/>
      <c r="M55" s="11" t="s">
        <v>413</v>
      </c>
      <c r="N55" s="11" t="s">
        <v>38</v>
      </c>
      <c r="O55" s="11" t="s">
        <v>91</v>
      </c>
      <c r="P55" s="11" t="s">
        <v>40</v>
      </c>
      <c r="Q55" s="11" t="s">
        <v>343</v>
      </c>
      <c r="R55" s="52" t="s">
        <v>394</v>
      </c>
    </row>
    <row r="56" spans="1:18" ht="60" x14ac:dyDescent="0.2">
      <c r="A56" s="96">
        <v>45</v>
      </c>
      <c r="B56" s="191" t="s">
        <v>409</v>
      </c>
      <c r="C56" s="192"/>
      <c r="D56" s="144"/>
      <c r="E56" s="8" t="s">
        <v>458</v>
      </c>
      <c r="F56" s="11" t="s">
        <v>411</v>
      </c>
      <c r="G56" s="9" t="s">
        <v>63</v>
      </c>
      <c r="H56" s="102" t="s">
        <v>34</v>
      </c>
      <c r="I56" s="8" t="str">
        <f t="shared" si="0"/>
        <v>PROTOCOLO DE TRAZO NIVELACIÓN Y REPLANTEO  GSI-PROTO-011 Ver. 00 de fecha 7/07/2025</v>
      </c>
      <c r="J56" s="103"/>
      <c r="K56" s="11" t="s">
        <v>412</v>
      </c>
      <c r="L56" s="11"/>
      <c r="M56" s="11" t="s">
        <v>413</v>
      </c>
      <c r="N56" s="11" t="s">
        <v>38</v>
      </c>
      <c r="O56" s="11" t="s">
        <v>91</v>
      </c>
      <c r="P56" s="11" t="s">
        <v>40</v>
      </c>
      <c r="Q56" s="11" t="s">
        <v>41</v>
      </c>
      <c r="R56" s="52" t="s">
        <v>394</v>
      </c>
    </row>
    <row r="57" spans="1:18" ht="60" x14ac:dyDescent="0.2">
      <c r="A57" s="96">
        <v>46</v>
      </c>
      <c r="B57" s="191" t="s">
        <v>410</v>
      </c>
      <c r="C57" s="192"/>
      <c r="D57" s="144"/>
      <c r="E57" s="8" t="s">
        <v>458</v>
      </c>
      <c r="F57" s="8" t="s">
        <v>411</v>
      </c>
      <c r="G57" s="25" t="s">
        <v>109</v>
      </c>
      <c r="H57" s="10" t="s">
        <v>34</v>
      </c>
      <c r="I57" s="8" t="str">
        <f t="shared" si="0"/>
        <v>PROTOCOLO DE CONFORMACIÓN DE SUB BASE GSI-PROTO-012 Ver. 00 de fecha 7/07/2025</v>
      </c>
      <c r="J57" s="49"/>
      <c r="K57" s="8" t="s">
        <v>412</v>
      </c>
      <c r="L57" s="8"/>
      <c r="M57" s="11" t="s">
        <v>413</v>
      </c>
      <c r="N57" s="8" t="s">
        <v>38</v>
      </c>
      <c r="O57" s="8" t="s">
        <v>91</v>
      </c>
      <c r="P57" s="8" t="s">
        <v>40</v>
      </c>
      <c r="Q57" s="8" t="s">
        <v>41</v>
      </c>
      <c r="R57" s="101" t="s">
        <v>394</v>
      </c>
    </row>
    <row r="68" spans="4:13" ht="17" thickBot="1" x14ac:dyDescent="0.25"/>
    <row r="69" spans="4:13" ht="17" thickBot="1" x14ac:dyDescent="0.25">
      <c r="D69" s="204" t="s">
        <v>83</v>
      </c>
      <c r="E69" s="155"/>
      <c r="F69" s="155"/>
      <c r="G69" s="155"/>
      <c r="H69" s="155"/>
      <c r="I69" s="155"/>
      <c r="J69" s="155"/>
      <c r="K69" s="155"/>
      <c r="L69" s="155"/>
      <c r="M69" s="156"/>
    </row>
    <row r="70" spans="4:13" ht="17" thickBot="1" x14ac:dyDescent="0.25">
      <c r="D70" s="203" t="s">
        <v>84</v>
      </c>
      <c r="E70" s="155"/>
      <c r="F70" s="159"/>
      <c r="G70" s="160"/>
      <c r="H70" s="155"/>
      <c r="I70" s="155"/>
      <c r="J70" s="155"/>
      <c r="K70" s="155"/>
      <c r="L70" s="155"/>
      <c r="M70" s="156"/>
    </row>
    <row r="71" spans="4:13" ht="17" thickBot="1" x14ac:dyDescent="0.25">
      <c r="D71" s="203" t="s">
        <v>85</v>
      </c>
      <c r="E71" s="155"/>
      <c r="F71" s="159"/>
      <c r="G71" s="154"/>
      <c r="H71" s="205"/>
      <c r="I71" s="205"/>
      <c r="J71" s="205"/>
      <c r="K71" s="205"/>
      <c r="L71" s="205"/>
      <c r="M71" s="206"/>
    </row>
    <row r="72" spans="4:13" ht="17" thickBot="1" x14ac:dyDescent="0.25">
      <c r="D72" s="203" t="s">
        <v>86</v>
      </c>
      <c r="E72" s="155"/>
      <c r="F72" s="159"/>
      <c r="G72" s="163"/>
      <c r="H72" s="162"/>
      <c r="I72" s="162"/>
      <c r="J72" s="162"/>
      <c r="K72" s="162"/>
      <c r="L72" s="162"/>
      <c r="M72" s="164"/>
    </row>
    <row r="73" spans="4:13" ht="17" thickBot="1" x14ac:dyDescent="0.25">
      <c r="D73" s="203" t="s">
        <v>87</v>
      </c>
      <c r="E73" s="155"/>
      <c r="F73" s="159"/>
      <c r="G73" s="154"/>
      <c r="H73" s="155"/>
      <c r="I73" s="155"/>
      <c r="J73" s="155"/>
      <c r="K73" s="155"/>
      <c r="L73" s="155"/>
      <c r="M73" s="156"/>
    </row>
  </sheetData>
  <mergeCells count="79">
    <mergeCell ref="B23:D23"/>
    <mergeCell ref="B45:D45"/>
    <mergeCell ref="B38:D38"/>
    <mergeCell ref="B39:D39"/>
    <mergeCell ref="B28:D28"/>
    <mergeCell ref="B29:D29"/>
    <mergeCell ref="B31:D31"/>
    <mergeCell ref="B32:D32"/>
    <mergeCell ref="B33:D33"/>
    <mergeCell ref="B34:D34"/>
    <mergeCell ref="B35:D35"/>
    <mergeCell ref="B36:D36"/>
    <mergeCell ref="B40:D40"/>
    <mergeCell ref="B41:D41"/>
    <mergeCell ref="B42:D42"/>
    <mergeCell ref="B43:D43"/>
    <mergeCell ref="B12:D12"/>
    <mergeCell ref="D71:F71"/>
    <mergeCell ref="G71:M71"/>
    <mergeCell ref="D72:F72"/>
    <mergeCell ref="G72:M72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D73:F73"/>
    <mergeCell ref="G73:M73"/>
    <mergeCell ref="B25:D25"/>
    <mergeCell ref="B26:D26"/>
    <mergeCell ref="B27:D27"/>
    <mergeCell ref="D69:M69"/>
    <mergeCell ref="D70:F70"/>
    <mergeCell ref="G70:M70"/>
    <mergeCell ref="B48:D48"/>
    <mergeCell ref="B30:D30"/>
    <mergeCell ref="B37:D37"/>
    <mergeCell ref="B47:D47"/>
    <mergeCell ref="B46:D46"/>
    <mergeCell ref="B44:D44"/>
    <mergeCell ref="B49:D49"/>
    <mergeCell ref="B50:D50"/>
    <mergeCell ref="A9:I9"/>
    <mergeCell ref="J9:R9"/>
    <mergeCell ref="A10:I10"/>
    <mergeCell ref="J10:R10"/>
    <mergeCell ref="B11:D11"/>
    <mergeCell ref="A8:C8"/>
    <mergeCell ref="D8:R8"/>
    <mergeCell ref="A5:R5"/>
    <mergeCell ref="A6:D6"/>
    <mergeCell ref="E6:H6"/>
    <mergeCell ref="I6:M6"/>
    <mergeCell ref="N6:P6"/>
    <mergeCell ref="Q6:R6"/>
    <mergeCell ref="A7:D7"/>
    <mergeCell ref="E7:H7"/>
    <mergeCell ref="I7:M7"/>
    <mergeCell ref="N7:P7"/>
    <mergeCell ref="Q7:R7"/>
    <mergeCell ref="C4:R4"/>
    <mergeCell ref="A1:B2"/>
    <mergeCell ref="C1:P1"/>
    <mergeCell ref="Q1:R1"/>
    <mergeCell ref="C2:P2"/>
    <mergeCell ref="Q2:R2"/>
    <mergeCell ref="B56:D56"/>
    <mergeCell ref="B57:D57"/>
    <mergeCell ref="B51:D51"/>
    <mergeCell ref="B52:D52"/>
    <mergeCell ref="B53:D53"/>
    <mergeCell ref="B54:D54"/>
    <mergeCell ref="B55:D55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999"/>
  <sheetViews>
    <sheetView showGridLines="0" topLeftCell="A6" zoomScale="56" zoomScaleNormal="56" workbookViewId="0">
      <selection activeCell="G11" sqref="G11"/>
    </sheetView>
  </sheetViews>
  <sheetFormatPr baseColWidth="10" defaultColWidth="10.140625" defaultRowHeight="15" customHeight="1" x14ac:dyDescent="0.2"/>
  <cols>
    <col min="1" max="1" width="11" customWidth="1"/>
    <col min="2" max="2" width="74" customWidth="1"/>
    <col min="3" max="3" width="28.42578125" customWidth="1"/>
    <col min="4" max="4" width="16.85546875" customWidth="1"/>
    <col min="5" max="5" width="15.85546875" customWidth="1"/>
    <col min="6" max="6" width="13.140625" customWidth="1"/>
    <col min="7" max="7" width="17.140625" customWidth="1"/>
    <col min="8" max="8" width="19.85546875" customWidth="1"/>
    <col min="9" max="10" width="20.85546875" customWidth="1"/>
    <col min="11" max="11" width="28.85546875" customWidth="1"/>
    <col min="12" max="12" width="26.42578125" customWidth="1"/>
    <col min="13" max="14" width="22.85546875" customWidth="1"/>
    <col min="15" max="15" width="19.140625" customWidth="1"/>
    <col min="16" max="16" width="28.140625" customWidth="1"/>
    <col min="17" max="17" width="17" customWidth="1"/>
    <col min="18" max="26" width="11" customWidth="1"/>
  </cols>
  <sheetData>
    <row r="1" spans="1:26" ht="34.5" customHeight="1" x14ac:dyDescent="0.2">
      <c r="A1" s="149"/>
      <c r="B1" s="150"/>
      <c r="C1" s="153" t="s">
        <v>0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53" t="s">
        <v>1</v>
      </c>
      <c r="P1" s="131"/>
      <c r="Q1" s="132"/>
      <c r="R1" s="16"/>
      <c r="S1" s="16"/>
      <c r="T1" s="16"/>
      <c r="U1" s="16"/>
      <c r="V1" s="16"/>
      <c r="W1" s="16"/>
      <c r="X1" s="16"/>
      <c r="Y1" s="16"/>
      <c r="Z1" s="16"/>
    </row>
    <row r="2" spans="1:26" ht="197.5" customHeight="1" x14ac:dyDescent="0.2">
      <c r="A2" s="151"/>
      <c r="B2" s="152"/>
      <c r="C2" s="153" t="s">
        <v>2</v>
      </c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2"/>
      <c r="O2" s="153" t="s">
        <v>3</v>
      </c>
      <c r="P2" s="131"/>
      <c r="Q2" s="132"/>
      <c r="R2" s="16"/>
      <c r="S2" s="16"/>
      <c r="T2" s="16"/>
      <c r="U2" s="16"/>
      <c r="V2" s="16"/>
      <c r="W2" s="16"/>
      <c r="X2" s="16"/>
      <c r="Y2" s="16"/>
      <c r="Z2" s="16"/>
    </row>
    <row r="3" spans="1:26" ht="30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30" customHeight="1" x14ac:dyDescent="0.2">
      <c r="A4" s="32" t="s">
        <v>4</v>
      </c>
      <c r="B4" s="32"/>
      <c r="C4" s="214">
        <v>1</v>
      </c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2"/>
      <c r="R4" s="16"/>
      <c r="S4" s="16"/>
      <c r="T4" s="16"/>
      <c r="U4" s="16"/>
      <c r="V4" s="16"/>
      <c r="W4" s="16"/>
      <c r="X4" s="16"/>
      <c r="Y4" s="16"/>
      <c r="Z4" s="16"/>
    </row>
    <row r="5" spans="1:26" ht="30" customHeight="1" x14ac:dyDescent="0.2">
      <c r="A5" s="215" t="s">
        <v>5</v>
      </c>
      <c r="B5" s="131"/>
      <c r="C5" s="131"/>
      <c r="D5" s="131"/>
      <c r="E5" s="136"/>
      <c r="F5" s="136"/>
      <c r="G5" s="136"/>
      <c r="H5" s="136"/>
      <c r="I5" s="136"/>
      <c r="J5" s="136"/>
      <c r="K5" s="136"/>
      <c r="L5" s="136"/>
      <c r="M5" s="131"/>
      <c r="N5" s="131"/>
      <c r="O5" s="131"/>
      <c r="P5" s="131"/>
      <c r="Q5" s="132"/>
      <c r="R5" s="16"/>
      <c r="S5" s="16"/>
      <c r="T5" s="16"/>
      <c r="U5" s="16"/>
      <c r="V5" s="16"/>
      <c r="W5" s="16"/>
      <c r="X5" s="16"/>
      <c r="Y5" s="16"/>
      <c r="Z5" s="16"/>
    </row>
    <row r="6" spans="1:26" ht="30" customHeight="1" x14ac:dyDescent="0.2">
      <c r="A6" s="177" t="s">
        <v>6</v>
      </c>
      <c r="B6" s="131"/>
      <c r="C6" s="131"/>
      <c r="D6" s="132"/>
      <c r="E6" s="177" t="s">
        <v>7</v>
      </c>
      <c r="F6" s="131"/>
      <c r="G6" s="131"/>
      <c r="H6" s="132"/>
      <c r="I6" s="177" t="s">
        <v>8</v>
      </c>
      <c r="J6" s="131"/>
      <c r="K6" s="131"/>
      <c r="L6" s="131"/>
      <c r="M6" s="132"/>
      <c r="N6" s="177" t="s">
        <v>9</v>
      </c>
      <c r="O6" s="131"/>
      <c r="P6" s="132"/>
      <c r="Q6" s="177" t="s">
        <v>10</v>
      </c>
      <c r="R6" s="132"/>
      <c r="S6" s="16"/>
      <c r="T6" s="16"/>
      <c r="U6" s="16"/>
      <c r="V6" s="16"/>
      <c r="W6" s="16"/>
      <c r="X6" s="16"/>
      <c r="Y6" s="16"/>
      <c r="Z6" s="16"/>
    </row>
    <row r="7" spans="1:26" ht="99.5" customHeight="1" x14ac:dyDescent="0.2">
      <c r="A7" s="139">
        <f>PROCEDIMIENTOS!A7</f>
        <v>0</v>
      </c>
      <c r="B7" s="140"/>
      <c r="C7" s="140"/>
      <c r="D7" s="141"/>
      <c r="E7" s="139">
        <f>PROCEDIMIENTOS!E7</f>
        <v>0</v>
      </c>
      <c r="F7" s="140"/>
      <c r="G7" s="140"/>
      <c r="H7" s="141"/>
      <c r="I7" s="139">
        <f>PROCEDIMIENTOS!I7</f>
        <v>0</v>
      </c>
      <c r="J7" s="140"/>
      <c r="K7" s="140"/>
      <c r="L7" s="140"/>
      <c r="M7" s="141"/>
      <c r="N7" s="147">
        <f>PROCEDIMIENTOS!N7</f>
        <v>0</v>
      </c>
      <c r="O7" s="140"/>
      <c r="P7" s="141"/>
      <c r="Q7" s="138"/>
      <c r="R7" s="132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211" t="s">
        <v>11</v>
      </c>
      <c r="B8" s="212"/>
      <c r="C8" s="152"/>
      <c r="D8" s="213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152"/>
      <c r="R8" s="16"/>
      <c r="S8" s="16"/>
      <c r="T8" s="16"/>
      <c r="U8" s="16"/>
      <c r="V8" s="16"/>
      <c r="W8" s="16"/>
      <c r="X8" s="16"/>
      <c r="Y8" s="16"/>
      <c r="Z8" s="16"/>
    </row>
    <row r="9" spans="1:26" ht="30" customHeight="1" x14ac:dyDescent="0.2">
      <c r="A9" s="208" t="s">
        <v>12</v>
      </c>
      <c r="B9" s="131"/>
      <c r="C9" s="131"/>
      <c r="D9" s="131"/>
      <c r="E9" s="131"/>
      <c r="F9" s="131"/>
      <c r="G9" s="131"/>
      <c r="H9" s="132"/>
      <c r="I9" s="208" t="s">
        <v>13</v>
      </c>
      <c r="J9" s="131"/>
      <c r="K9" s="131"/>
      <c r="L9" s="131"/>
      <c r="M9" s="131"/>
      <c r="N9" s="131"/>
      <c r="O9" s="131"/>
      <c r="P9" s="131"/>
      <c r="Q9" s="132"/>
      <c r="R9" s="16"/>
      <c r="S9" s="16"/>
      <c r="T9" s="16"/>
      <c r="U9" s="16"/>
      <c r="V9" s="16"/>
      <c r="W9" s="16"/>
      <c r="X9" s="16"/>
      <c r="Y9" s="16"/>
      <c r="Z9" s="16"/>
    </row>
    <row r="10" spans="1:26" ht="30" customHeight="1" x14ac:dyDescent="0.2">
      <c r="A10" s="209"/>
      <c r="B10" s="131"/>
      <c r="C10" s="131"/>
      <c r="D10" s="131"/>
      <c r="E10" s="131"/>
      <c r="F10" s="131"/>
      <c r="G10" s="131"/>
      <c r="H10" s="132"/>
      <c r="I10" s="210"/>
      <c r="J10" s="131"/>
      <c r="K10" s="131"/>
      <c r="L10" s="131"/>
      <c r="M10" s="131"/>
      <c r="N10" s="131"/>
      <c r="O10" s="131"/>
      <c r="P10" s="131"/>
      <c r="Q10" s="132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34.5" customHeight="1" x14ac:dyDescent="0.2">
      <c r="A11" s="33" t="s">
        <v>14</v>
      </c>
      <c r="B11" s="208" t="s">
        <v>15</v>
      </c>
      <c r="C11" s="132"/>
      <c r="D11" s="33" t="s">
        <v>16</v>
      </c>
      <c r="E11" s="33" t="s">
        <v>17</v>
      </c>
      <c r="F11" s="33" t="s">
        <v>18</v>
      </c>
      <c r="G11" s="33" t="s">
        <v>351</v>
      </c>
      <c r="H11" s="33" t="s">
        <v>20</v>
      </c>
      <c r="I11" s="33" t="s">
        <v>21</v>
      </c>
      <c r="J11" s="33" t="s">
        <v>22</v>
      </c>
      <c r="K11" s="33" t="s">
        <v>23</v>
      </c>
      <c r="L11" s="33" t="s">
        <v>24</v>
      </c>
      <c r="M11" s="33" t="s">
        <v>25</v>
      </c>
      <c r="N11" s="33" t="s">
        <v>26</v>
      </c>
      <c r="O11" s="33" t="s">
        <v>27</v>
      </c>
      <c r="P11" s="33" t="s">
        <v>28</v>
      </c>
      <c r="Q11" s="33" t="s">
        <v>29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">
      <c r="A12" s="34">
        <v>1</v>
      </c>
      <c r="B12" s="207" t="s">
        <v>352</v>
      </c>
      <c r="C12" s="132"/>
      <c r="D12" s="34" t="s">
        <v>458</v>
      </c>
      <c r="E12" s="35" t="s">
        <v>353</v>
      </c>
      <c r="F12" s="34" t="s">
        <v>354</v>
      </c>
      <c r="G12" s="36" t="s">
        <v>355</v>
      </c>
      <c r="H12" s="35" t="s">
        <v>354</v>
      </c>
      <c r="I12" s="49"/>
      <c r="J12" s="38" t="s">
        <v>356</v>
      </c>
      <c r="K12" s="38" t="s">
        <v>356</v>
      </c>
      <c r="L12" s="37" t="s">
        <v>357</v>
      </c>
      <c r="M12" s="35" t="s">
        <v>38</v>
      </c>
      <c r="N12" s="34" t="s">
        <v>358</v>
      </c>
      <c r="O12" s="34" t="s">
        <v>40</v>
      </c>
      <c r="P12" s="35" t="s">
        <v>41</v>
      </c>
      <c r="Q12" s="52" t="s">
        <v>394</v>
      </c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30" customHeight="1" x14ac:dyDescent="0.2">
      <c r="A13" s="34">
        <v>2</v>
      </c>
      <c r="B13" s="207" t="s">
        <v>359</v>
      </c>
      <c r="C13" s="132"/>
      <c r="D13" s="34" t="s">
        <v>458</v>
      </c>
      <c r="E13" s="35" t="s">
        <v>353</v>
      </c>
      <c r="F13" s="37" t="s">
        <v>354</v>
      </c>
      <c r="G13" s="36" t="s">
        <v>360</v>
      </c>
      <c r="H13" s="35" t="s">
        <v>354</v>
      </c>
      <c r="I13" s="49"/>
      <c r="J13" s="38" t="s">
        <v>356</v>
      </c>
      <c r="K13" s="38" t="s">
        <v>356</v>
      </c>
      <c r="L13" s="37" t="s">
        <v>357</v>
      </c>
      <c r="M13" s="35" t="s">
        <v>38</v>
      </c>
      <c r="N13" s="34" t="s">
        <v>358</v>
      </c>
      <c r="O13" s="34" t="s">
        <v>40</v>
      </c>
      <c r="P13" s="35" t="s">
        <v>41</v>
      </c>
      <c r="Q13" s="52" t="s">
        <v>394</v>
      </c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30" customHeight="1" x14ac:dyDescent="0.2">
      <c r="A14" s="34">
        <f t="shared" ref="A14:A32" si="0">1+A13</f>
        <v>3</v>
      </c>
      <c r="B14" s="207" t="s">
        <v>361</v>
      </c>
      <c r="C14" s="132"/>
      <c r="D14" s="34" t="s">
        <v>458</v>
      </c>
      <c r="E14" s="35" t="s">
        <v>353</v>
      </c>
      <c r="F14" s="34" t="s">
        <v>354</v>
      </c>
      <c r="G14" s="36" t="s">
        <v>362</v>
      </c>
      <c r="H14" s="35" t="s">
        <v>354</v>
      </c>
      <c r="I14" s="49"/>
      <c r="J14" s="38" t="s">
        <v>356</v>
      </c>
      <c r="K14" s="38" t="s">
        <v>356</v>
      </c>
      <c r="L14" s="37" t="s">
        <v>357</v>
      </c>
      <c r="M14" s="35" t="s">
        <v>38</v>
      </c>
      <c r="N14" s="34" t="s">
        <v>358</v>
      </c>
      <c r="O14" s="34" t="s">
        <v>40</v>
      </c>
      <c r="P14" s="35" t="s">
        <v>41</v>
      </c>
      <c r="Q14" s="52" t="s">
        <v>394</v>
      </c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30" customHeight="1" x14ac:dyDescent="0.2">
      <c r="A15" s="34">
        <f t="shared" si="0"/>
        <v>4</v>
      </c>
      <c r="B15" s="207" t="s">
        <v>363</v>
      </c>
      <c r="C15" s="132"/>
      <c r="D15" s="34" t="s">
        <v>458</v>
      </c>
      <c r="E15" s="35" t="s">
        <v>353</v>
      </c>
      <c r="F15" s="37" t="s">
        <v>354</v>
      </c>
      <c r="G15" s="35">
        <v>2016</v>
      </c>
      <c r="H15" s="35" t="s">
        <v>354</v>
      </c>
      <c r="I15" s="49"/>
      <c r="J15" s="38" t="s">
        <v>356</v>
      </c>
      <c r="K15" s="38" t="s">
        <v>356</v>
      </c>
      <c r="L15" s="37" t="s">
        <v>357</v>
      </c>
      <c r="M15" s="35" t="s">
        <v>38</v>
      </c>
      <c r="N15" s="34" t="s">
        <v>358</v>
      </c>
      <c r="O15" s="34" t="s">
        <v>40</v>
      </c>
      <c r="P15" s="35" t="s">
        <v>41</v>
      </c>
      <c r="Q15" s="52" t="s">
        <v>394</v>
      </c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30" customHeight="1" x14ac:dyDescent="0.2">
      <c r="A16" s="34">
        <f t="shared" si="0"/>
        <v>5</v>
      </c>
      <c r="B16" s="207" t="s">
        <v>364</v>
      </c>
      <c r="C16" s="132"/>
      <c r="D16" s="34" t="s">
        <v>458</v>
      </c>
      <c r="E16" s="35" t="s">
        <v>353</v>
      </c>
      <c r="F16" s="34" t="s">
        <v>354</v>
      </c>
      <c r="G16" s="35">
        <v>2017</v>
      </c>
      <c r="H16" s="35" t="s">
        <v>354</v>
      </c>
      <c r="I16" s="49"/>
      <c r="J16" s="38" t="s">
        <v>356</v>
      </c>
      <c r="K16" s="38" t="s">
        <v>356</v>
      </c>
      <c r="L16" s="37" t="s">
        <v>357</v>
      </c>
      <c r="M16" s="35" t="s">
        <v>38</v>
      </c>
      <c r="N16" s="34" t="s">
        <v>358</v>
      </c>
      <c r="O16" s="34" t="s">
        <v>40</v>
      </c>
      <c r="P16" s="35" t="s">
        <v>41</v>
      </c>
      <c r="Q16" s="52" t="s">
        <v>394</v>
      </c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25" customHeight="1" x14ac:dyDescent="0.2">
      <c r="A17" s="34">
        <f t="shared" si="0"/>
        <v>6</v>
      </c>
      <c r="B17" s="207" t="s">
        <v>365</v>
      </c>
      <c r="C17" s="132"/>
      <c r="D17" s="34" t="s">
        <v>458</v>
      </c>
      <c r="E17" s="35" t="s">
        <v>353</v>
      </c>
      <c r="F17" s="37" t="s">
        <v>354</v>
      </c>
      <c r="G17" s="35">
        <v>2019</v>
      </c>
      <c r="H17" s="35" t="s">
        <v>354</v>
      </c>
      <c r="I17" s="49"/>
      <c r="J17" s="38" t="s">
        <v>356</v>
      </c>
      <c r="K17" s="38" t="s">
        <v>356</v>
      </c>
      <c r="L17" s="37" t="s">
        <v>357</v>
      </c>
      <c r="M17" s="35" t="s">
        <v>38</v>
      </c>
      <c r="N17" s="34" t="s">
        <v>358</v>
      </c>
      <c r="O17" s="34" t="s">
        <v>40</v>
      </c>
      <c r="P17" s="35" t="s">
        <v>41</v>
      </c>
      <c r="Q17" s="52" t="s">
        <v>394</v>
      </c>
      <c r="R17" s="39"/>
      <c r="S17" s="39"/>
      <c r="T17" s="39"/>
      <c r="U17" s="39"/>
      <c r="V17" s="39"/>
      <c r="W17" s="39"/>
      <c r="X17" s="39"/>
      <c r="Y17" s="40"/>
      <c r="Z17" s="40"/>
    </row>
    <row r="18" spans="1:26" ht="30" customHeight="1" x14ac:dyDescent="0.2">
      <c r="A18" s="34">
        <f t="shared" si="0"/>
        <v>7</v>
      </c>
      <c r="B18" s="207" t="s">
        <v>366</v>
      </c>
      <c r="C18" s="132"/>
      <c r="D18" s="34" t="s">
        <v>458</v>
      </c>
      <c r="E18" s="35" t="s">
        <v>353</v>
      </c>
      <c r="F18" s="34" t="s">
        <v>354</v>
      </c>
      <c r="G18" s="35">
        <v>2018</v>
      </c>
      <c r="H18" s="35" t="s">
        <v>354</v>
      </c>
      <c r="I18" s="49"/>
      <c r="J18" s="38" t="s">
        <v>356</v>
      </c>
      <c r="K18" s="38" t="s">
        <v>356</v>
      </c>
      <c r="L18" s="37" t="s">
        <v>357</v>
      </c>
      <c r="M18" s="35" t="s">
        <v>38</v>
      </c>
      <c r="N18" s="34" t="s">
        <v>358</v>
      </c>
      <c r="O18" s="34" t="s">
        <v>40</v>
      </c>
      <c r="P18" s="35" t="s">
        <v>41</v>
      </c>
      <c r="Q18" s="52" t="s">
        <v>394</v>
      </c>
      <c r="R18" s="39"/>
      <c r="S18" s="39"/>
      <c r="T18" s="39"/>
      <c r="U18" s="39"/>
      <c r="V18" s="39"/>
      <c r="W18" s="39"/>
      <c r="X18" s="39"/>
      <c r="Y18" s="40"/>
      <c r="Z18" s="40"/>
    </row>
    <row r="19" spans="1:26" ht="54" customHeight="1" x14ac:dyDescent="0.2">
      <c r="A19" s="34">
        <f t="shared" si="0"/>
        <v>8</v>
      </c>
      <c r="B19" s="207" t="s">
        <v>367</v>
      </c>
      <c r="C19" s="132"/>
      <c r="D19" s="34" t="s">
        <v>458</v>
      </c>
      <c r="E19" s="35" t="s">
        <v>353</v>
      </c>
      <c r="F19" s="37" t="s">
        <v>354</v>
      </c>
      <c r="G19" s="35">
        <v>2017</v>
      </c>
      <c r="H19" s="35" t="s">
        <v>354</v>
      </c>
      <c r="I19" s="49"/>
      <c r="J19" s="38" t="s">
        <v>356</v>
      </c>
      <c r="K19" s="38" t="s">
        <v>356</v>
      </c>
      <c r="L19" s="37" t="s">
        <v>357</v>
      </c>
      <c r="M19" s="35" t="s">
        <v>38</v>
      </c>
      <c r="N19" s="34" t="s">
        <v>358</v>
      </c>
      <c r="O19" s="34" t="s">
        <v>40</v>
      </c>
      <c r="P19" s="35" t="s">
        <v>41</v>
      </c>
      <c r="Q19" s="52" t="s">
        <v>394</v>
      </c>
      <c r="R19" s="39"/>
      <c r="S19" s="39"/>
      <c r="T19" s="39"/>
      <c r="U19" s="39"/>
      <c r="V19" s="39"/>
      <c r="W19" s="39"/>
      <c r="X19" s="39"/>
      <c r="Y19" s="40"/>
      <c r="Z19" s="40"/>
    </row>
    <row r="20" spans="1:26" ht="45.75" customHeight="1" x14ac:dyDescent="0.2">
      <c r="A20" s="34">
        <f t="shared" si="0"/>
        <v>9</v>
      </c>
      <c r="B20" s="207" t="s">
        <v>368</v>
      </c>
      <c r="C20" s="132"/>
      <c r="D20" s="34" t="s">
        <v>458</v>
      </c>
      <c r="E20" s="35" t="s">
        <v>353</v>
      </c>
      <c r="F20" s="34" t="s">
        <v>354</v>
      </c>
      <c r="G20" s="35">
        <v>2019</v>
      </c>
      <c r="H20" s="35" t="s">
        <v>354</v>
      </c>
      <c r="I20" s="49"/>
      <c r="J20" s="38" t="s">
        <v>356</v>
      </c>
      <c r="K20" s="38" t="s">
        <v>356</v>
      </c>
      <c r="L20" s="37" t="s">
        <v>357</v>
      </c>
      <c r="M20" s="35" t="s">
        <v>38</v>
      </c>
      <c r="N20" s="34" t="s">
        <v>358</v>
      </c>
      <c r="O20" s="34" t="s">
        <v>40</v>
      </c>
      <c r="P20" s="35" t="s">
        <v>41</v>
      </c>
      <c r="Q20" s="52" t="s">
        <v>394</v>
      </c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33" customHeight="1" x14ac:dyDescent="0.2">
      <c r="A21" s="34">
        <f t="shared" si="0"/>
        <v>10</v>
      </c>
      <c r="B21" s="207" t="s">
        <v>369</v>
      </c>
      <c r="C21" s="132"/>
      <c r="D21" s="34" t="s">
        <v>458</v>
      </c>
      <c r="E21" s="35" t="s">
        <v>353</v>
      </c>
      <c r="F21" s="37" t="s">
        <v>354</v>
      </c>
      <c r="G21" s="35">
        <v>2018</v>
      </c>
      <c r="H21" s="35" t="s">
        <v>354</v>
      </c>
      <c r="I21" s="49"/>
      <c r="J21" s="38" t="s">
        <v>356</v>
      </c>
      <c r="K21" s="38" t="s">
        <v>356</v>
      </c>
      <c r="L21" s="37" t="s">
        <v>357</v>
      </c>
      <c r="M21" s="35" t="s">
        <v>38</v>
      </c>
      <c r="N21" s="34" t="s">
        <v>358</v>
      </c>
      <c r="O21" s="34" t="s">
        <v>40</v>
      </c>
      <c r="P21" s="35" t="s">
        <v>41</v>
      </c>
      <c r="Q21" s="52" t="s">
        <v>394</v>
      </c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52.5" customHeight="1" x14ac:dyDescent="0.2">
      <c r="A22" s="34">
        <f t="shared" si="0"/>
        <v>11</v>
      </c>
      <c r="B22" s="207" t="s">
        <v>370</v>
      </c>
      <c r="C22" s="132"/>
      <c r="D22" s="34" t="s">
        <v>458</v>
      </c>
      <c r="E22" s="35" t="s">
        <v>353</v>
      </c>
      <c r="F22" s="34" t="s">
        <v>354</v>
      </c>
      <c r="G22" s="35">
        <v>2017</v>
      </c>
      <c r="H22" s="35" t="s">
        <v>354</v>
      </c>
      <c r="I22" s="49"/>
      <c r="J22" s="38" t="s">
        <v>356</v>
      </c>
      <c r="K22" s="38" t="s">
        <v>356</v>
      </c>
      <c r="L22" s="37" t="s">
        <v>357</v>
      </c>
      <c r="M22" s="35" t="s">
        <v>38</v>
      </c>
      <c r="N22" s="34" t="s">
        <v>358</v>
      </c>
      <c r="O22" s="34" t="s">
        <v>40</v>
      </c>
      <c r="P22" s="35" t="s">
        <v>41</v>
      </c>
      <c r="Q22" s="52" t="s">
        <v>394</v>
      </c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86.25" customHeight="1" x14ac:dyDescent="0.2">
      <c r="A23" s="34">
        <f t="shared" si="0"/>
        <v>12</v>
      </c>
      <c r="B23" s="207" t="s">
        <v>371</v>
      </c>
      <c r="C23" s="132"/>
      <c r="D23" s="34" t="s">
        <v>458</v>
      </c>
      <c r="E23" s="35" t="s">
        <v>353</v>
      </c>
      <c r="F23" s="37" t="s">
        <v>354</v>
      </c>
      <c r="G23" s="35">
        <v>2017</v>
      </c>
      <c r="H23" s="35" t="s">
        <v>354</v>
      </c>
      <c r="I23" s="49"/>
      <c r="J23" s="38" t="s">
        <v>356</v>
      </c>
      <c r="K23" s="38" t="s">
        <v>356</v>
      </c>
      <c r="L23" s="37" t="s">
        <v>357</v>
      </c>
      <c r="M23" s="35" t="s">
        <v>38</v>
      </c>
      <c r="N23" s="34" t="s">
        <v>358</v>
      </c>
      <c r="O23" s="34" t="s">
        <v>40</v>
      </c>
      <c r="P23" s="35" t="s">
        <v>41</v>
      </c>
      <c r="Q23" s="52" t="s">
        <v>394</v>
      </c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37.5" customHeight="1" x14ac:dyDescent="0.2">
      <c r="A24" s="34">
        <f t="shared" si="0"/>
        <v>13</v>
      </c>
      <c r="B24" s="207" t="s">
        <v>372</v>
      </c>
      <c r="C24" s="132"/>
      <c r="D24" s="34" t="s">
        <v>458</v>
      </c>
      <c r="E24" s="35" t="s">
        <v>353</v>
      </c>
      <c r="F24" s="34" t="s">
        <v>354</v>
      </c>
      <c r="G24" s="35">
        <v>2015</v>
      </c>
      <c r="H24" s="35" t="s">
        <v>354</v>
      </c>
      <c r="I24" s="49"/>
      <c r="J24" s="35" t="s">
        <v>356</v>
      </c>
      <c r="K24" s="35" t="s">
        <v>356</v>
      </c>
      <c r="L24" s="37" t="s">
        <v>357</v>
      </c>
      <c r="M24" s="35" t="s">
        <v>38</v>
      </c>
      <c r="N24" s="34" t="s">
        <v>358</v>
      </c>
      <c r="O24" s="34" t="s">
        <v>40</v>
      </c>
      <c r="P24" s="35" t="s">
        <v>41</v>
      </c>
      <c r="Q24" s="52" t="s">
        <v>394</v>
      </c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42.75" customHeight="1" x14ac:dyDescent="0.2">
      <c r="A25" s="34">
        <f t="shared" si="0"/>
        <v>14</v>
      </c>
      <c r="B25" s="207" t="s">
        <v>373</v>
      </c>
      <c r="C25" s="132"/>
      <c r="D25" s="34" t="s">
        <v>458</v>
      </c>
      <c r="E25" s="35" t="s">
        <v>353</v>
      </c>
      <c r="F25" s="37" t="s">
        <v>354</v>
      </c>
      <c r="G25" s="35">
        <v>2018</v>
      </c>
      <c r="H25" s="35" t="s">
        <v>354</v>
      </c>
      <c r="I25" s="49"/>
      <c r="J25" s="35" t="s">
        <v>356</v>
      </c>
      <c r="K25" s="35" t="s">
        <v>356</v>
      </c>
      <c r="L25" s="37" t="s">
        <v>357</v>
      </c>
      <c r="M25" s="35" t="s">
        <v>38</v>
      </c>
      <c r="N25" s="34" t="s">
        <v>358</v>
      </c>
      <c r="O25" s="34" t="s">
        <v>40</v>
      </c>
      <c r="P25" s="35" t="s">
        <v>41</v>
      </c>
      <c r="Q25" s="52" t="s">
        <v>394</v>
      </c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38.25" customHeight="1" x14ac:dyDescent="0.2">
      <c r="A26" s="34">
        <f t="shared" si="0"/>
        <v>15</v>
      </c>
      <c r="B26" s="207" t="s">
        <v>374</v>
      </c>
      <c r="C26" s="132"/>
      <c r="D26" s="34" t="s">
        <v>458</v>
      </c>
      <c r="E26" s="35" t="s">
        <v>353</v>
      </c>
      <c r="F26" s="34" t="s">
        <v>354</v>
      </c>
      <c r="G26" s="35">
        <v>2000</v>
      </c>
      <c r="H26" s="35" t="s">
        <v>354</v>
      </c>
      <c r="I26" s="49"/>
      <c r="J26" s="38" t="s">
        <v>356</v>
      </c>
      <c r="K26" s="38" t="s">
        <v>356</v>
      </c>
      <c r="L26" s="37" t="s">
        <v>357</v>
      </c>
      <c r="M26" s="35" t="s">
        <v>38</v>
      </c>
      <c r="N26" s="34" t="s">
        <v>358</v>
      </c>
      <c r="O26" s="34" t="s">
        <v>40</v>
      </c>
      <c r="P26" s="35" t="s">
        <v>41</v>
      </c>
      <c r="Q26" s="52" t="s">
        <v>394</v>
      </c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48" customHeight="1" x14ac:dyDescent="0.2">
      <c r="A27" s="34">
        <f t="shared" si="0"/>
        <v>16</v>
      </c>
      <c r="B27" s="207" t="s">
        <v>375</v>
      </c>
      <c r="C27" s="132"/>
      <c r="D27" s="34" t="s">
        <v>458</v>
      </c>
      <c r="E27" s="35" t="s">
        <v>353</v>
      </c>
      <c r="F27" s="37" t="s">
        <v>354</v>
      </c>
      <c r="G27" s="35">
        <v>2007</v>
      </c>
      <c r="H27" s="35" t="s">
        <v>354</v>
      </c>
      <c r="I27" s="49"/>
      <c r="J27" s="38" t="s">
        <v>356</v>
      </c>
      <c r="K27" s="38" t="s">
        <v>356</v>
      </c>
      <c r="L27" s="37" t="s">
        <v>357</v>
      </c>
      <c r="M27" s="35" t="s">
        <v>38</v>
      </c>
      <c r="N27" s="34" t="s">
        <v>358</v>
      </c>
      <c r="O27" s="34" t="s">
        <v>40</v>
      </c>
      <c r="P27" s="35" t="s">
        <v>41</v>
      </c>
      <c r="Q27" s="52" t="s">
        <v>394</v>
      </c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54.75" customHeight="1" x14ac:dyDescent="0.2">
      <c r="A28" s="34">
        <f t="shared" si="0"/>
        <v>17</v>
      </c>
      <c r="B28" s="207" t="s">
        <v>376</v>
      </c>
      <c r="C28" s="132"/>
      <c r="D28" s="34" t="s">
        <v>458</v>
      </c>
      <c r="E28" s="35" t="s">
        <v>353</v>
      </c>
      <c r="F28" s="34" t="s">
        <v>354</v>
      </c>
      <c r="G28" s="35">
        <v>2020</v>
      </c>
      <c r="H28" s="35" t="s">
        <v>354</v>
      </c>
      <c r="I28" s="49"/>
      <c r="J28" s="38" t="s">
        <v>377</v>
      </c>
      <c r="K28" s="38" t="s">
        <v>378</v>
      </c>
      <c r="L28" s="37" t="s">
        <v>379</v>
      </c>
      <c r="M28" s="35" t="s">
        <v>38</v>
      </c>
      <c r="N28" s="34" t="s">
        <v>91</v>
      </c>
      <c r="O28" s="34" t="s">
        <v>40</v>
      </c>
      <c r="P28" s="38" t="s">
        <v>380</v>
      </c>
      <c r="Q28" s="52" t="s">
        <v>394</v>
      </c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54.75" customHeight="1" x14ac:dyDescent="0.2">
      <c r="A29" s="34">
        <f t="shared" si="0"/>
        <v>18</v>
      </c>
      <c r="B29" s="207" t="s">
        <v>381</v>
      </c>
      <c r="C29" s="132"/>
      <c r="D29" s="34" t="s">
        <v>458</v>
      </c>
      <c r="E29" s="35" t="s">
        <v>353</v>
      </c>
      <c r="F29" s="34" t="s">
        <v>354</v>
      </c>
      <c r="G29" s="35" t="s">
        <v>354</v>
      </c>
      <c r="H29" s="35" t="s">
        <v>382</v>
      </c>
      <c r="I29" s="49"/>
      <c r="J29" s="38" t="s">
        <v>383</v>
      </c>
      <c r="K29" s="38" t="s">
        <v>378</v>
      </c>
      <c r="L29" s="37" t="s">
        <v>384</v>
      </c>
      <c r="M29" s="35" t="s">
        <v>38</v>
      </c>
      <c r="N29" s="34" t="s">
        <v>91</v>
      </c>
      <c r="O29" s="34" t="s">
        <v>40</v>
      </c>
      <c r="P29" s="35" t="s">
        <v>385</v>
      </c>
      <c r="Q29" s="52" t="s">
        <v>394</v>
      </c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52.5" customHeight="1" x14ac:dyDescent="0.2">
      <c r="A30" s="34">
        <f t="shared" si="0"/>
        <v>19</v>
      </c>
      <c r="B30" s="207" t="s">
        <v>386</v>
      </c>
      <c r="C30" s="132"/>
      <c r="D30" s="34" t="s">
        <v>458</v>
      </c>
      <c r="E30" s="35" t="s">
        <v>353</v>
      </c>
      <c r="F30" s="37" t="s">
        <v>354</v>
      </c>
      <c r="G30" s="35">
        <v>2020</v>
      </c>
      <c r="H30" s="35" t="s">
        <v>354</v>
      </c>
      <c r="I30" s="49"/>
      <c r="J30" s="38" t="s">
        <v>387</v>
      </c>
      <c r="K30" s="38" t="s">
        <v>388</v>
      </c>
      <c r="L30" s="37" t="s">
        <v>384</v>
      </c>
      <c r="M30" s="35" t="s">
        <v>38</v>
      </c>
      <c r="N30" s="34" t="s">
        <v>91</v>
      </c>
      <c r="O30" s="34" t="s">
        <v>40</v>
      </c>
      <c r="P30" s="38" t="s">
        <v>389</v>
      </c>
      <c r="Q30" s="52" t="s">
        <v>394</v>
      </c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51.75" customHeight="1" x14ac:dyDescent="0.2">
      <c r="A31" s="34">
        <f t="shared" si="0"/>
        <v>20</v>
      </c>
      <c r="B31" s="207" t="s">
        <v>390</v>
      </c>
      <c r="C31" s="132"/>
      <c r="D31" s="34" t="s">
        <v>458</v>
      </c>
      <c r="E31" s="35" t="s">
        <v>353</v>
      </c>
      <c r="F31" s="34" t="s">
        <v>354</v>
      </c>
      <c r="G31" s="35">
        <v>2020</v>
      </c>
      <c r="H31" s="35" t="s">
        <v>354</v>
      </c>
      <c r="I31" s="49"/>
      <c r="J31" s="38" t="s">
        <v>391</v>
      </c>
      <c r="K31" s="38" t="s">
        <v>391</v>
      </c>
      <c r="L31" s="37" t="s">
        <v>392</v>
      </c>
      <c r="M31" s="35" t="s">
        <v>38</v>
      </c>
      <c r="N31" s="34" t="s">
        <v>91</v>
      </c>
      <c r="O31" s="34" t="s">
        <v>40</v>
      </c>
      <c r="P31" s="38" t="s">
        <v>385</v>
      </c>
      <c r="Q31" s="52" t="s">
        <v>394</v>
      </c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42.75" customHeight="1" x14ac:dyDescent="0.2">
      <c r="A32" s="34">
        <f t="shared" si="0"/>
        <v>21</v>
      </c>
      <c r="B32" s="207" t="s">
        <v>393</v>
      </c>
      <c r="C32" s="132"/>
      <c r="D32" s="34" t="s">
        <v>458</v>
      </c>
      <c r="E32" s="35" t="s">
        <v>353</v>
      </c>
      <c r="F32" s="37" t="s">
        <v>354</v>
      </c>
      <c r="G32" s="35">
        <v>2020</v>
      </c>
      <c r="H32" s="35" t="s">
        <v>354</v>
      </c>
      <c r="I32" s="49"/>
      <c r="J32" s="38" t="s">
        <v>388</v>
      </c>
      <c r="K32" s="38" t="s">
        <v>388</v>
      </c>
      <c r="L32" s="37" t="s">
        <v>384</v>
      </c>
      <c r="M32" s="35" t="s">
        <v>38</v>
      </c>
      <c r="N32" s="34" t="s">
        <v>91</v>
      </c>
      <c r="O32" s="34" t="s">
        <v>40</v>
      </c>
      <c r="P32" s="38" t="s">
        <v>385</v>
      </c>
      <c r="Q32" s="52" t="s">
        <v>394</v>
      </c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" customHeight="1" x14ac:dyDescent="0.2">
      <c r="A33" s="41"/>
      <c r="B33" s="42"/>
      <c r="C33" s="42"/>
      <c r="D33" s="41"/>
      <c r="E33" s="43"/>
      <c r="F33" s="44"/>
      <c r="G33" s="45"/>
      <c r="H33" s="43"/>
      <c r="I33" s="46"/>
      <c r="J33" s="42"/>
      <c r="K33" s="42"/>
      <c r="L33" s="44"/>
      <c r="M33" s="43"/>
      <c r="N33" s="47"/>
      <c r="O33" s="41"/>
      <c r="P33" s="42"/>
      <c r="Q33" s="47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" customHeight="1" x14ac:dyDescent="0.2">
      <c r="A34" s="41"/>
      <c r="B34" s="42"/>
      <c r="C34" s="42"/>
      <c r="D34" s="41"/>
      <c r="E34" s="43"/>
      <c r="F34" s="44"/>
      <c r="G34" s="45"/>
      <c r="H34" s="43"/>
      <c r="I34" s="46"/>
      <c r="J34" s="42"/>
      <c r="K34" s="42"/>
      <c r="L34" s="44"/>
      <c r="M34" s="43"/>
      <c r="N34" s="47"/>
      <c r="O34" s="41"/>
      <c r="P34" s="42"/>
      <c r="Q34" s="47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" customHeight="1" x14ac:dyDescent="0.2">
      <c r="A35" s="41"/>
      <c r="B35" s="42"/>
      <c r="C35" s="42"/>
      <c r="D35" s="41"/>
      <c r="E35" s="43"/>
      <c r="F35" s="44"/>
      <c r="G35" s="45"/>
      <c r="H35" s="43"/>
      <c r="I35" s="46"/>
      <c r="J35" s="42"/>
      <c r="K35" s="42"/>
      <c r="L35" s="44"/>
      <c r="M35" s="43"/>
      <c r="N35" s="47"/>
      <c r="O35" s="41"/>
      <c r="P35" s="42"/>
      <c r="Q35" s="47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" customHeight="1" x14ac:dyDescent="0.2">
      <c r="A36" s="41"/>
      <c r="B36" s="42"/>
      <c r="C36" s="42"/>
      <c r="D36" s="41"/>
      <c r="E36" s="43"/>
      <c r="F36" s="44"/>
      <c r="G36" s="45"/>
      <c r="H36" s="43"/>
      <c r="I36" s="46"/>
      <c r="J36" s="42"/>
      <c r="K36" s="42"/>
      <c r="L36" s="44"/>
      <c r="M36" s="43"/>
      <c r="N36" s="47"/>
      <c r="O36" s="41"/>
      <c r="P36" s="42"/>
      <c r="Q36" s="47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" customHeight="1" x14ac:dyDescent="0.2">
      <c r="A37" s="41"/>
      <c r="B37" s="42"/>
      <c r="C37" s="42"/>
      <c r="D37" s="41"/>
      <c r="E37" s="43"/>
      <c r="F37" s="44"/>
      <c r="G37" s="45"/>
      <c r="H37" s="43"/>
      <c r="I37" s="46"/>
      <c r="J37" s="42"/>
      <c r="K37" s="42"/>
      <c r="L37" s="44"/>
      <c r="M37" s="43"/>
      <c r="N37" s="47"/>
      <c r="O37" s="41"/>
      <c r="P37" s="42"/>
      <c r="Q37" s="47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" customHeight="1" x14ac:dyDescent="0.2">
      <c r="A38" s="41"/>
      <c r="B38" s="42"/>
      <c r="C38" s="42"/>
      <c r="D38" s="41"/>
      <c r="E38" s="43"/>
      <c r="F38" s="44"/>
      <c r="G38" s="45"/>
      <c r="H38" s="43"/>
      <c r="I38" s="46"/>
      <c r="J38" s="42"/>
      <c r="K38" s="42"/>
      <c r="L38" s="44"/>
      <c r="M38" s="43"/>
      <c r="N38" s="47"/>
      <c r="O38" s="41"/>
      <c r="P38" s="42"/>
      <c r="Q38" s="47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" customHeight="1" x14ac:dyDescent="0.2">
      <c r="A39" s="41"/>
      <c r="B39" s="42"/>
      <c r="C39" s="42"/>
      <c r="D39" s="41"/>
      <c r="E39" s="43"/>
      <c r="F39" s="44"/>
      <c r="G39" s="45"/>
      <c r="H39" s="43"/>
      <c r="I39" s="46"/>
      <c r="J39" s="42"/>
      <c r="K39" s="42"/>
      <c r="L39" s="44"/>
      <c r="M39" s="43"/>
      <c r="N39" s="47"/>
      <c r="O39" s="41"/>
      <c r="P39" s="42"/>
      <c r="Q39" s="47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8.75" customHeight="1" x14ac:dyDescent="0.2">
      <c r="A40" s="22"/>
      <c r="B40" s="16"/>
      <c r="C40" s="23"/>
      <c r="D40" s="4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8.75" customHeight="1" thickBot="1" x14ac:dyDescent="0.25">
      <c r="A41" s="157" t="s">
        <v>83</v>
      </c>
      <c r="B41" s="155"/>
      <c r="C41" s="155"/>
      <c r="D41" s="155"/>
      <c r="E41" s="155"/>
      <c r="F41" s="155"/>
      <c r="G41" s="155"/>
      <c r="H41" s="155"/>
      <c r="I41" s="155"/>
      <c r="J41" s="15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8.75" customHeight="1" thickBot="1" x14ac:dyDescent="0.25">
      <c r="A42" s="158" t="s">
        <v>84</v>
      </c>
      <c r="B42" s="155"/>
      <c r="C42" s="159"/>
      <c r="D42" s="160"/>
      <c r="E42" s="155"/>
      <c r="F42" s="155"/>
      <c r="G42" s="155"/>
      <c r="H42" s="155"/>
      <c r="I42" s="155"/>
      <c r="J42" s="15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8.75" customHeight="1" thickBot="1" x14ac:dyDescent="0.25">
      <c r="A43" s="158" t="s">
        <v>85</v>
      </c>
      <c r="B43" s="155"/>
      <c r="C43" s="159"/>
      <c r="D43" s="154"/>
      <c r="E43" s="155"/>
      <c r="F43" s="155"/>
      <c r="G43" s="155"/>
      <c r="H43" s="155"/>
      <c r="I43" s="155"/>
      <c r="J43" s="15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8.75" customHeight="1" thickBot="1" x14ac:dyDescent="0.25">
      <c r="A44" s="158" t="s">
        <v>85</v>
      </c>
      <c r="B44" s="155"/>
      <c r="C44" s="159"/>
      <c r="D44" s="163"/>
      <c r="E44" s="162"/>
      <c r="F44" s="162"/>
      <c r="G44" s="162"/>
      <c r="H44" s="162"/>
      <c r="I44" s="162"/>
      <c r="J44" s="164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80" customHeight="1" thickBot="1" x14ac:dyDescent="0.25">
      <c r="A45" s="158" t="s">
        <v>85</v>
      </c>
      <c r="B45" s="155"/>
      <c r="C45" s="159"/>
      <c r="D45" s="154"/>
      <c r="E45" s="155"/>
      <c r="F45" s="155"/>
      <c r="G45" s="155"/>
      <c r="H45" s="155"/>
      <c r="I45" s="155"/>
      <c r="J45" s="15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8.75" customHeight="1" x14ac:dyDescent="0.2">
      <c r="A46" s="22"/>
      <c r="B46" s="16"/>
      <c r="C46" s="23"/>
      <c r="D46" s="4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8.75" customHeight="1" x14ac:dyDescent="0.2">
      <c r="A47" s="22"/>
      <c r="B47" s="16"/>
      <c r="C47" s="23"/>
      <c r="D47" s="4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8.75" customHeight="1" x14ac:dyDescent="0.2">
      <c r="A48" s="22"/>
      <c r="B48" s="16"/>
      <c r="C48" s="23"/>
      <c r="D48" s="4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8.75" customHeight="1" x14ac:dyDescent="0.2">
      <c r="A49" s="22"/>
      <c r="B49" s="16"/>
      <c r="C49" s="23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8.75" customHeight="1" x14ac:dyDescent="0.2">
      <c r="A50" s="22"/>
      <c r="B50" s="16"/>
      <c r="C50" s="23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8.75" customHeight="1" x14ac:dyDescent="0.2">
      <c r="A51" s="22"/>
      <c r="B51" s="16"/>
      <c r="C51" s="23"/>
      <c r="D51" s="4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8.75" customHeight="1" x14ac:dyDescent="0.2">
      <c r="A52" s="22"/>
      <c r="B52" s="16"/>
      <c r="C52" s="23"/>
      <c r="D52" s="4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8.75" customHeight="1" x14ac:dyDescent="0.2">
      <c r="A53" s="22"/>
      <c r="B53" s="16"/>
      <c r="C53" s="23"/>
      <c r="D53" s="4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8.75" customHeight="1" x14ac:dyDescent="0.2">
      <c r="A54" s="22"/>
      <c r="B54" s="16"/>
      <c r="C54" s="23"/>
      <c r="D54" s="4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8.75" customHeight="1" x14ac:dyDescent="0.2">
      <c r="A55" s="22"/>
      <c r="B55" s="16"/>
      <c r="C55" s="23"/>
      <c r="D55" s="4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8.75" customHeight="1" x14ac:dyDescent="0.2">
      <c r="A56" s="22"/>
      <c r="B56" s="16"/>
      <c r="C56" s="23"/>
      <c r="D56" s="4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8.75" customHeight="1" x14ac:dyDescent="0.2">
      <c r="A57" s="22"/>
      <c r="B57" s="16"/>
      <c r="C57" s="23"/>
      <c r="D57" s="48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8.75" customHeight="1" x14ac:dyDescent="0.2">
      <c r="A58" s="22"/>
      <c r="B58" s="16"/>
      <c r="C58" s="23"/>
      <c r="D58" s="4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8.75" customHeight="1" x14ac:dyDescent="0.2">
      <c r="A59" s="22"/>
      <c r="B59" s="16"/>
      <c r="C59" s="23"/>
      <c r="D59" s="48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8.75" customHeight="1" x14ac:dyDescent="0.2">
      <c r="A60" s="22"/>
      <c r="B60" s="16"/>
      <c r="C60" s="23"/>
      <c r="D60" s="4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8.75" customHeight="1" x14ac:dyDescent="0.2">
      <c r="A61" s="22"/>
      <c r="B61" s="16"/>
      <c r="C61" s="23"/>
      <c r="D61" s="4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8.75" customHeight="1" x14ac:dyDescent="0.2">
      <c r="A62" s="22"/>
      <c r="B62" s="16"/>
      <c r="C62" s="23"/>
      <c r="D62" s="48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8.75" customHeight="1" x14ac:dyDescent="0.2">
      <c r="A63" s="22"/>
      <c r="B63" s="16"/>
      <c r="C63" s="23"/>
      <c r="D63" s="48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8.75" customHeight="1" x14ac:dyDescent="0.2">
      <c r="A64" s="22"/>
      <c r="B64" s="16"/>
      <c r="C64" s="23"/>
      <c r="D64" s="48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8.75" customHeight="1" x14ac:dyDescent="0.2">
      <c r="A65" s="22"/>
      <c r="B65" s="16"/>
      <c r="C65" s="23"/>
      <c r="D65" s="48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8.75" customHeight="1" x14ac:dyDescent="0.2">
      <c r="A66" s="22"/>
      <c r="B66" s="16"/>
      <c r="C66" s="23"/>
      <c r="D66" s="48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8.75" customHeight="1" x14ac:dyDescent="0.2">
      <c r="A67" s="22"/>
      <c r="B67" s="16"/>
      <c r="C67" s="23"/>
      <c r="D67" s="48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8.75" customHeight="1" x14ac:dyDescent="0.2">
      <c r="A68" s="22"/>
      <c r="B68" s="16"/>
      <c r="C68" s="23"/>
      <c r="D68" s="48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8.75" customHeight="1" x14ac:dyDescent="0.2">
      <c r="A69" s="22"/>
      <c r="B69" s="16"/>
      <c r="C69" s="23"/>
      <c r="D69" s="48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8.75" customHeight="1" x14ac:dyDescent="0.2">
      <c r="A70" s="22"/>
      <c r="B70" s="16"/>
      <c r="C70" s="23"/>
      <c r="D70" s="48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8.75" customHeight="1" x14ac:dyDescent="0.2">
      <c r="A71" s="22"/>
      <c r="B71" s="16"/>
      <c r="C71" s="23"/>
      <c r="D71" s="48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8.75" customHeight="1" x14ac:dyDescent="0.2">
      <c r="A72" s="22"/>
      <c r="B72" s="16"/>
      <c r="C72" s="23"/>
      <c r="D72" s="48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8.75" customHeight="1" x14ac:dyDescent="0.2">
      <c r="A73" s="22"/>
      <c r="B73" s="16"/>
      <c r="C73" s="23"/>
      <c r="D73" s="48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8.75" customHeight="1" x14ac:dyDescent="0.2">
      <c r="A74" s="22"/>
      <c r="B74" s="16"/>
      <c r="C74" s="23"/>
      <c r="D74" s="48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8.75" customHeight="1" x14ac:dyDescent="0.2">
      <c r="A75" s="22"/>
      <c r="B75" s="16"/>
      <c r="C75" s="23"/>
      <c r="D75" s="48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8.75" customHeight="1" x14ac:dyDescent="0.2">
      <c r="A76" s="22"/>
      <c r="B76" s="16"/>
      <c r="C76" s="23"/>
      <c r="D76" s="48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8.75" customHeight="1" x14ac:dyDescent="0.2">
      <c r="A77" s="22"/>
      <c r="B77" s="16"/>
      <c r="C77" s="23"/>
      <c r="D77" s="48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8.75" customHeight="1" x14ac:dyDescent="0.2">
      <c r="A78" s="22"/>
      <c r="B78" s="16"/>
      <c r="C78" s="23"/>
      <c r="D78" s="48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8.75" customHeight="1" x14ac:dyDescent="0.2">
      <c r="A79" s="22"/>
      <c r="B79" s="16"/>
      <c r="C79" s="23"/>
      <c r="D79" s="48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8.75" customHeight="1" x14ac:dyDescent="0.2">
      <c r="A80" s="22"/>
      <c r="B80" s="16"/>
      <c r="C80" s="23"/>
      <c r="D80" s="48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8.75" customHeight="1" x14ac:dyDescent="0.2">
      <c r="A81" s="22"/>
      <c r="B81" s="16"/>
      <c r="C81" s="23"/>
      <c r="D81" s="48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8.75" customHeight="1" x14ac:dyDescent="0.2">
      <c r="A82" s="22"/>
      <c r="B82" s="16"/>
      <c r="C82" s="23"/>
      <c r="D82" s="48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8.75" customHeight="1" x14ac:dyDescent="0.2">
      <c r="A83" s="22"/>
      <c r="B83" s="16"/>
      <c r="C83" s="23"/>
      <c r="D83" s="48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8.75" customHeight="1" x14ac:dyDescent="0.2">
      <c r="A84" s="22"/>
      <c r="B84" s="16"/>
      <c r="C84" s="23"/>
      <c r="D84" s="48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8.75" customHeight="1" x14ac:dyDescent="0.2">
      <c r="A85" s="22"/>
      <c r="B85" s="16"/>
      <c r="C85" s="23"/>
      <c r="D85" s="48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8.75" customHeight="1" x14ac:dyDescent="0.2">
      <c r="A86" s="22"/>
      <c r="B86" s="16"/>
      <c r="C86" s="23"/>
      <c r="D86" s="48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8.75" customHeight="1" x14ac:dyDescent="0.2">
      <c r="A87" s="22"/>
      <c r="B87" s="16"/>
      <c r="C87" s="23"/>
      <c r="D87" s="48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8.75" customHeight="1" x14ac:dyDescent="0.2">
      <c r="A88" s="22"/>
      <c r="B88" s="16"/>
      <c r="C88" s="23"/>
      <c r="D88" s="48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8.75" customHeight="1" x14ac:dyDescent="0.2">
      <c r="A89" s="22"/>
      <c r="B89" s="16"/>
      <c r="C89" s="23"/>
      <c r="D89" s="48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8.75" customHeight="1" x14ac:dyDescent="0.2">
      <c r="A90" s="22"/>
      <c r="B90" s="16"/>
      <c r="C90" s="23"/>
      <c r="D90" s="48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8.75" customHeight="1" x14ac:dyDescent="0.2">
      <c r="A91" s="22"/>
      <c r="B91" s="16"/>
      <c r="C91" s="23"/>
      <c r="D91" s="48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8.75" customHeight="1" x14ac:dyDescent="0.2">
      <c r="A92" s="22"/>
      <c r="B92" s="16"/>
      <c r="C92" s="23"/>
      <c r="D92" s="48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8.75" customHeight="1" x14ac:dyDescent="0.2">
      <c r="A93" s="22"/>
      <c r="B93" s="16"/>
      <c r="C93" s="23"/>
      <c r="D93" s="48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8.75" customHeight="1" x14ac:dyDescent="0.2">
      <c r="A94" s="22"/>
      <c r="B94" s="16"/>
      <c r="C94" s="23"/>
      <c r="D94" s="48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8.75" customHeight="1" x14ac:dyDescent="0.2">
      <c r="A95" s="22"/>
      <c r="B95" s="16"/>
      <c r="C95" s="23"/>
      <c r="D95" s="48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8.75" customHeight="1" x14ac:dyDescent="0.2">
      <c r="A96" s="22"/>
      <c r="B96" s="16"/>
      <c r="C96" s="23"/>
      <c r="D96" s="48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8.75" customHeight="1" x14ac:dyDescent="0.2">
      <c r="A97" s="22"/>
      <c r="B97" s="16"/>
      <c r="C97" s="23"/>
      <c r="D97" s="48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8.75" customHeight="1" x14ac:dyDescent="0.2">
      <c r="A98" s="22"/>
      <c r="B98" s="16"/>
      <c r="C98" s="23"/>
      <c r="D98" s="48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8.75" customHeight="1" x14ac:dyDescent="0.2">
      <c r="A99" s="22"/>
      <c r="B99" s="16"/>
      <c r="C99" s="23"/>
      <c r="D99" s="48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8.75" customHeight="1" x14ac:dyDescent="0.2">
      <c r="A100" s="22"/>
      <c r="B100" s="16"/>
      <c r="C100" s="23"/>
      <c r="D100" s="48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8.75" customHeight="1" x14ac:dyDescent="0.2">
      <c r="A101" s="22"/>
      <c r="B101" s="16"/>
      <c r="C101" s="23"/>
      <c r="D101" s="48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8.75" customHeight="1" x14ac:dyDescent="0.2">
      <c r="A102" s="22"/>
      <c r="B102" s="16"/>
      <c r="C102" s="23"/>
      <c r="D102" s="48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8.75" customHeight="1" x14ac:dyDescent="0.2">
      <c r="A103" s="22"/>
      <c r="B103" s="16"/>
      <c r="C103" s="23"/>
      <c r="D103" s="48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8.75" customHeight="1" x14ac:dyDescent="0.2">
      <c r="A104" s="22"/>
      <c r="B104" s="16"/>
      <c r="C104" s="23"/>
      <c r="D104" s="48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8.75" customHeight="1" x14ac:dyDescent="0.2">
      <c r="A105" s="22"/>
      <c r="B105" s="16"/>
      <c r="C105" s="23"/>
      <c r="D105" s="48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8.75" customHeight="1" x14ac:dyDescent="0.2">
      <c r="A106" s="22"/>
      <c r="B106" s="16"/>
      <c r="C106" s="23"/>
      <c r="D106" s="48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8.75" customHeight="1" x14ac:dyDescent="0.2">
      <c r="A107" s="22"/>
      <c r="B107" s="16"/>
      <c r="C107" s="23"/>
      <c r="D107" s="48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8.75" customHeight="1" x14ac:dyDescent="0.2">
      <c r="A108" s="22"/>
      <c r="B108" s="16"/>
      <c r="C108" s="23"/>
      <c r="D108" s="48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8.75" customHeight="1" x14ac:dyDescent="0.2">
      <c r="A109" s="22"/>
      <c r="B109" s="16"/>
      <c r="C109" s="23"/>
      <c r="D109" s="48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8.75" customHeight="1" x14ac:dyDescent="0.2">
      <c r="A110" s="22"/>
      <c r="B110" s="16"/>
      <c r="C110" s="23"/>
      <c r="D110" s="4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8.75" customHeight="1" x14ac:dyDescent="0.2">
      <c r="A111" s="22"/>
      <c r="B111" s="16"/>
      <c r="C111" s="23"/>
      <c r="D111" s="48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8.75" customHeight="1" x14ac:dyDescent="0.2">
      <c r="A112" s="22"/>
      <c r="B112" s="16"/>
      <c r="C112" s="23"/>
      <c r="D112" s="4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8.75" customHeight="1" x14ac:dyDescent="0.2">
      <c r="A113" s="22"/>
      <c r="B113" s="16"/>
      <c r="C113" s="23"/>
      <c r="D113" s="48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8.75" customHeight="1" x14ac:dyDescent="0.2">
      <c r="A114" s="22"/>
      <c r="B114" s="16"/>
      <c r="C114" s="23"/>
      <c r="D114" s="48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8.75" customHeight="1" x14ac:dyDescent="0.2">
      <c r="A115" s="22"/>
      <c r="B115" s="16"/>
      <c r="C115" s="23"/>
      <c r="D115" s="48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8.75" customHeight="1" x14ac:dyDescent="0.2">
      <c r="A116" s="22"/>
      <c r="B116" s="16"/>
      <c r="C116" s="23"/>
      <c r="D116" s="48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8.75" customHeight="1" x14ac:dyDescent="0.2">
      <c r="A117" s="22"/>
      <c r="B117" s="16"/>
      <c r="C117" s="23"/>
      <c r="D117" s="48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8.75" customHeight="1" x14ac:dyDescent="0.2">
      <c r="A118" s="22"/>
      <c r="B118" s="16"/>
      <c r="C118" s="23"/>
      <c r="D118" s="48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8.75" customHeight="1" x14ac:dyDescent="0.2">
      <c r="A119" s="22"/>
      <c r="B119" s="16"/>
      <c r="C119" s="23"/>
      <c r="D119" s="48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8.75" customHeight="1" x14ac:dyDescent="0.2">
      <c r="A120" s="22"/>
      <c r="B120" s="16"/>
      <c r="C120" s="23"/>
      <c r="D120" s="48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8.75" customHeight="1" x14ac:dyDescent="0.2">
      <c r="A121" s="22"/>
      <c r="B121" s="16"/>
      <c r="C121" s="23"/>
      <c r="D121" s="48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8.75" customHeight="1" x14ac:dyDescent="0.2">
      <c r="A122" s="22"/>
      <c r="B122" s="16"/>
      <c r="C122" s="23"/>
      <c r="D122" s="48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8.75" customHeight="1" x14ac:dyDescent="0.2">
      <c r="A123" s="22"/>
      <c r="B123" s="16"/>
      <c r="C123" s="23"/>
      <c r="D123" s="48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8.75" customHeight="1" x14ac:dyDescent="0.2">
      <c r="A124" s="22"/>
      <c r="B124" s="16"/>
      <c r="C124" s="23"/>
      <c r="D124" s="48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8.75" customHeight="1" x14ac:dyDescent="0.2">
      <c r="A125" s="22"/>
      <c r="B125" s="16"/>
      <c r="C125" s="23"/>
      <c r="D125" s="48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8.75" customHeight="1" x14ac:dyDescent="0.2">
      <c r="A126" s="22"/>
      <c r="B126" s="16"/>
      <c r="C126" s="23"/>
      <c r="D126" s="48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8.75" customHeight="1" x14ac:dyDescent="0.2">
      <c r="A127" s="22"/>
      <c r="B127" s="16"/>
      <c r="C127" s="23"/>
      <c r="D127" s="48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8.75" customHeight="1" x14ac:dyDescent="0.2">
      <c r="A128" s="22"/>
      <c r="B128" s="16"/>
      <c r="C128" s="23"/>
      <c r="D128" s="48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8.75" customHeight="1" x14ac:dyDescent="0.2">
      <c r="A129" s="22"/>
      <c r="B129" s="16"/>
      <c r="C129" s="23"/>
      <c r="D129" s="48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8.75" customHeight="1" x14ac:dyDescent="0.2">
      <c r="A130" s="22"/>
      <c r="B130" s="16"/>
      <c r="C130" s="23"/>
      <c r="D130" s="48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8.75" customHeight="1" x14ac:dyDescent="0.2">
      <c r="A131" s="22"/>
      <c r="B131" s="16"/>
      <c r="C131" s="23"/>
      <c r="D131" s="48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8.75" customHeight="1" x14ac:dyDescent="0.2">
      <c r="A132" s="22"/>
      <c r="B132" s="16"/>
      <c r="C132" s="23"/>
      <c r="D132" s="48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8.75" customHeight="1" x14ac:dyDescent="0.2">
      <c r="A133" s="22"/>
      <c r="B133" s="16"/>
      <c r="C133" s="23"/>
      <c r="D133" s="48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8.75" customHeight="1" x14ac:dyDescent="0.2">
      <c r="A134" s="22"/>
      <c r="B134" s="16"/>
      <c r="C134" s="23"/>
      <c r="D134" s="48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8.75" customHeight="1" x14ac:dyDescent="0.2">
      <c r="A135" s="22"/>
      <c r="B135" s="16"/>
      <c r="C135" s="23"/>
      <c r="D135" s="48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8.75" customHeight="1" x14ac:dyDescent="0.2">
      <c r="A136" s="22"/>
      <c r="B136" s="16"/>
      <c r="C136" s="23"/>
      <c r="D136" s="48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8.75" customHeight="1" x14ac:dyDescent="0.2">
      <c r="A137" s="22"/>
      <c r="B137" s="16"/>
      <c r="C137" s="23"/>
      <c r="D137" s="48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8.75" customHeight="1" x14ac:dyDescent="0.2">
      <c r="A138" s="22"/>
      <c r="B138" s="16"/>
      <c r="C138" s="23"/>
      <c r="D138" s="48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8.75" customHeight="1" x14ac:dyDescent="0.2">
      <c r="A139" s="22"/>
      <c r="B139" s="16"/>
      <c r="C139" s="23"/>
      <c r="D139" s="48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8.75" customHeight="1" x14ac:dyDescent="0.2">
      <c r="A140" s="22"/>
      <c r="B140" s="16"/>
      <c r="C140" s="23"/>
      <c r="D140" s="48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8.75" customHeight="1" x14ac:dyDescent="0.2">
      <c r="A141" s="22"/>
      <c r="B141" s="16"/>
      <c r="C141" s="23"/>
      <c r="D141" s="48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8.75" customHeight="1" x14ac:dyDescent="0.2">
      <c r="A142" s="22"/>
      <c r="B142" s="16"/>
      <c r="C142" s="23"/>
      <c r="D142" s="48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8.75" customHeight="1" x14ac:dyDescent="0.2">
      <c r="A143" s="22"/>
      <c r="B143" s="16"/>
      <c r="C143" s="23"/>
      <c r="D143" s="48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8.75" customHeight="1" x14ac:dyDescent="0.2">
      <c r="A144" s="22"/>
      <c r="B144" s="16"/>
      <c r="C144" s="23"/>
      <c r="D144" s="48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8.75" customHeight="1" x14ac:dyDescent="0.2">
      <c r="A145" s="22"/>
      <c r="B145" s="16"/>
      <c r="C145" s="23"/>
      <c r="D145" s="48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8.75" customHeight="1" x14ac:dyDescent="0.2">
      <c r="A146" s="22"/>
      <c r="B146" s="16"/>
      <c r="C146" s="23"/>
      <c r="D146" s="48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8.75" customHeight="1" x14ac:dyDescent="0.2">
      <c r="A147" s="22"/>
      <c r="B147" s="16"/>
      <c r="C147" s="23"/>
      <c r="D147" s="48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8.75" customHeight="1" x14ac:dyDescent="0.2">
      <c r="A148" s="22"/>
      <c r="B148" s="16"/>
      <c r="C148" s="23"/>
      <c r="D148" s="4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8.75" customHeight="1" x14ac:dyDescent="0.2">
      <c r="A149" s="22"/>
      <c r="B149" s="16"/>
      <c r="C149" s="23"/>
      <c r="D149" s="4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8.75" customHeight="1" x14ac:dyDescent="0.2">
      <c r="A150" s="22"/>
      <c r="B150" s="16"/>
      <c r="C150" s="23"/>
      <c r="D150" s="4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8.75" customHeight="1" x14ac:dyDescent="0.2">
      <c r="A151" s="22"/>
      <c r="B151" s="16"/>
      <c r="C151" s="23"/>
      <c r="D151" s="48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8.75" customHeight="1" x14ac:dyDescent="0.2">
      <c r="A152" s="22"/>
      <c r="B152" s="16"/>
      <c r="C152" s="23"/>
      <c r="D152" s="48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8.75" customHeight="1" x14ac:dyDescent="0.2">
      <c r="A153" s="22"/>
      <c r="B153" s="16"/>
      <c r="C153" s="23"/>
      <c r="D153" s="48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8.75" customHeight="1" x14ac:dyDescent="0.2">
      <c r="A154" s="22"/>
      <c r="B154" s="16"/>
      <c r="C154" s="23"/>
      <c r="D154" s="48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8.75" customHeight="1" x14ac:dyDescent="0.2">
      <c r="A155" s="22"/>
      <c r="B155" s="16"/>
      <c r="C155" s="23"/>
      <c r="D155" s="48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8.75" customHeight="1" x14ac:dyDescent="0.2">
      <c r="A156" s="22"/>
      <c r="B156" s="16"/>
      <c r="C156" s="23"/>
      <c r="D156" s="48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8.75" customHeight="1" x14ac:dyDescent="0.2">
      <c r="A157" s="22"/>
      <c r="B157" s="16"/>
      <c r="C157" s="23"/>
      <c r="D157" s="48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8.75" customHeight="1" x14ac:dyDescent="0.2">
      <c r="A158" s="22"/>
      <c r="B158" s="16"/>
      <c r="C158" s="23"/>
      <c r="D158" s="48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8.75" customHeight="1" x14ac:dyDescent="0.2">
      <c r="A159" s="22"/>
      <c r="B159" s="16"/>
      <c r="C159" s="23"/>
      <c r="D159" s="48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8.75" customHeight="1" x14ac:dyDescent="0.2">
      <c r="A160" s="22"/>
      <c r="B160" s="16"/>
      <c r="C160" s="23"/>
      <c r="D160" s="48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8.75" customHeight="1" x14ac:dyDescent="0.2">
      <c r="A161" s="22"/>
      <c r="B161" s="16"/>
      <c r="C161" s="23"/>
      <c r="D161" s="48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8.75" customHeight="1" x14ac:dyDescent="0.2">
      <c r="A162" s="22"/>
      <c r="B162" s="16"/>
      <c r="C162" s="23"/>
      <c r="D162" s="48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8.75" customHeight="1" x14ac:dyDescent="0.2">
      <c r="A163" s="22"/>
      <c r="B163" s="16"/>
      <c r="C163" s="23"/>
      <c r="D163" s="48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8.75" customHeight="1" x14ac:dyDescent="0.2">
      <c r="A164" s="22"/>
      <c r="B164" s="16"/>
      <c r="C164" s="23"/>
      <c r="D164" s="48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8.75" customHeight="1" x14ac:dyDescent="0.2">
      <c r="A165" s="22"/>
      <c r="B165" s="16"/>
      <c r="C165" s="23"/>
      <c r="D165" s="48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8.75" customHeight="1" x14ac:dyDescent="0.2">
      <c r="A166" s="22"/>
      <c r="B166" s="16"/>
      <c r="C166" s="23"/>
      <c r="D166" s="48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8.75" customHeight="1" x14ac:dyDescent="0.2">
      <c r="A167" s="22"/>
      <c r="B167" s="16"/>
      <c r="C167" s="23"/>
      <c r="D167" s="4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8.75" customHeight="1" x14ac:dyDescent="0.2">
      <c r="A168" s="22"/>
      <c r="B168" s="16"/>
      <c r="C168" s="23"/>
      <c r="D168" s="4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8.75" customHeight="1" x14ac:dyDescent="0.2">
      <c r="A169" s="22"/>
      <c r="B169" s="16"/>
      <c r="C169" s="23"/>
      <c r="D169" s="4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8.75" customHeight="1" x14ac:dyDescent="0.2">
      <c r="A170" s="22"/>
      <c r="B170" s="16"/>
      <c r="C170" s="23"/>
      <c r="D170" s="4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8.75" customHeight="1" x14ac:dyDescent="0.2">
      <c r="A171" s="22"/>
      <c r="B171" s="16"/>
      <c r="C171" s="23"/>
      <c r="D171" s="4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8.75" customHeight="1" x14ac:dyDescent="0.2">
      <c r="A172" s="22"/>
      <c r="B172" s="16"/>
      <c r="C172" s="23"/>
      <c r="D172" s="4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8.75" customHeight="1" x14ac:dyDescent="0.2">
      <c r="A173" s="22"/>
      <c r="B173" s="16"/>
      <c r="C173" s="23"/>
      <c r="D173" s="4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8.75" customHeight="1" x14ac:dyDescent="0.2">
      <c r="A174" s="22"/>
      <c r="B174" s="16"/>
      <c r="C174" s="23"/>
      <c r="D174" s="4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8.75" customHeight="1" x14ac:dyDescent="0.2">
      <c r="A175" s="22"/>
      <c r="B175" s="16"/>
      <c r="C175" s="23"/>
      <c r="D175" s="48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8.75" customHeight="1" x14ac:dyDescent="0.2">
      <c r="A176" s="22"/>
      <c r="B176" s="16"/>
      <c r="C176" s="23"/>
      <c r="D176" s="48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8.75" customHeight="1" x14ac:dyDescent="0.2">
      <c r="A177" s="22"/>
      <c r="B177" s="16"/>
      <c r="C177" s="23"/>
      <c r="D177" s="48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8.75" customHeight="1" x14ac:dyDescent="0.2">
      <c r="A178" s="22"/>
      <c r="B178" s="16"/>
      <c r="C178" s="23"/>
      <c r="D178" s="48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8.75" customHeight="1" x14ac:dyDescent="0.2">
      <c r="A179" s="22"/>
      <c r="B179" s="16"/>
      <c r="C179" s="23"/>
      <c r="D179" s="48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8.75" customHeight="1" x14ac:dyDescent="0.2">
      <c r="A180" s="22"/>
      <c r="B180" s="16"/>
      <c r="C180" s="23"/>
      <c r="D180" s="48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8.75" customHeight="1" x14ac:dyDescent="0.2">
      <c r="A181" s="22"/>
      <c r="B181" s="16"/>
      <c r="C181" s="23"/>
      <c r="D181" s="48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8.75" customHeight="1" x14ac:dyDescent="0.2">
      <c r="A182" s="22"/>
      <c r="B182" s="16"/>
      <c r="C182" s="23"/>
      <c r="D182" s="48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8.75" customHeight="1" x14ac:dyDescent="0.2">
      <c r="A183" s="22"/>
      <c r="B183" s="16"/>
      <c r="C183" s="23"/>
      <c r="D183" s="48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8.75" customHeight="1" x14ac:dyDescent="0.2">
      <c r="A184" s="22"/>
      <c r="B184" s="16"/>
      <c r="C184" s="23"/>
      <c r="D184" s="48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8.75" customHeight="1" x14ac:dyDescent="0.2">
      <c r="A185" s="22"/>
      <c r="B185" s="16"/>
      <c r="C185" s="23"/>
      <c r="D185" s="48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8.75" customHeight="1" x14ac:dyDescent="0.2">
      <c r="A186" s="22"/>
      <c r="B186" s="16"/>
      <c r="C186" s="23"/>
      <c r="D186" s="48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8.75" customHeight="1" x14ac:dyDescent="0.2">
      <c r="A187" s="22"/>
      <c r="B187" s="16"/>
      <c r="C187" s="23"/>
      <c r="D187" s="48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8.75" customHeight="1" x14ac:dyDescent="0.2">
      <c r="A188" s="22"/>
      <c r="B188" s="16"/>
      <c r="C188" s="23"/>
      <c r="D188" s="48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8.75" customHeight="1" x14ac:dyDescent="0.2">
      <c r="A189" s="22"/>
      <c r="B189" s="16"/>
      <c r="C189" s="23"/>
      <c r="D189" s="48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8.75" customHeight="1" x14ac:dyDescent="0.2">
      <c r="A190" s="22"/>
      <c r="B190" s="16"/>
      <c r="C190" s="23"/>
      <c r="D190" s="48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8.75" customHeight="1" x14ac:dyDescent="0.2">
      <c r="A191" s="22"/>
      <c r="B191" s="16"/>
      <c r="C191" s="23"/>
      <c r="D191" s="48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8.75" customHeight="1" x14ac:dyDescent="0.2">
      <c r="A192" s="22"/>
      <c r="B192" s="16"/>
      <c r="C192" s="23"/>
      <c r="D192" s="48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8.75" customHeight="1" x14ac:dyDescent="0.2">
      <c r="A193" s="22"/>
      <c r="B193" s="16"/>
      <c r="C193" s="23"/>
      <c r="D193" s="48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8.75" customHeight="1" x14ac:dyDescent="0.2">
      <c r="A194" s="22"/>
      <c r="B194" s="16"/>
      <c r="C194" s="23"/>
      <c r="D194" s="48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8.75" customHeight="1" x14ac:dyDescent="0.2">
      <c r="A195" s="22"/>
      <c r="B195" s="16"/>
      <c r="C195" s="23"/>
      <c r="D195" s="48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8.75" customHeight="1" x14ac:dyDescent="0.2">
      <c r="A196" s="22"/>
      <c r="B196" s="16"/>
      <c r="C196" s="23"/>
      <c r="D196" s="4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8.75" customHeight="1" x14ac:dyDescent="0.2">
      <c r="A197" s="22"/>
      <c r="B197" s="16"/>
      <c r="C197" s="23"/>
      <c r="D197" s="4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8.75" customHeight="1" x14ac:dyDescent="0.2">
      <c r="A198" s="22"/>
      <c r="B198" s="16"/>
      <c r="C198" s="23"/>
      <c r="D198" s="4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8.75" customHeight="1" x14ac:dyDescent="0.2">
      <c r="A199" s="22"/>
      <c r="B199" s="16"/>
      <c r="C199" s="23"/>
      <c r="D199" s="4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8.75" customHeight="1" x14ac:dyDescent="0.2">
      <c r="A200" s="22"/>
      <c r="B200" s="16"/>
      <c r="C200" s="23"/>
      <c r="D200" s="4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8.75" customHeight="1" x14ac:dyDescent="0.2">
      <c r="A201" s="22"/>
      <c r="B201" s="16"/>
      <c r="C201" s="23"/>
      <c r="D201" s="4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8.75" customHeight="1" x14ac:dyDescent="0.2">
      <c r="A202" s="22"/>
      <c r="B202" s="16"/>
      <c r="C202" s="23"/>
      <c r="D202" s="4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8.75" customHeight="1" x14ac:dyDescent="0.2">
      <c r="A203" s="22"/>
      <c r="B203" s="16"/>
      <c r="C203" s="23"/>
      <c r="D203" s="4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8.75" customHeight="1" x14ac:dyDescent="0.2">
      <c r="A204" s="22"/>
      <c r="B204" s="16"/>
      <c r="C204" s="23"/>
      <c r="D204" s="4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8.75" customHeight="1" x14ac:dyDescent="0.2">
      <c r="A205" s="22"/>
      <c r="B205" s="16"/>
      <c r="C205" s="23"/>
      <c r="D205" s="4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8.75" customHeight="1" x14ac:dyDescent="0.2">
      <c r="A206" s="22"/>
      <c r="B206" s="16"/>
      <c r="C206" s="23"/>
      <c r="D206" s="4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8.75" customHeight="1" x14ac:dyDescent="0.2">
      <c r="A207" s="22"/>
      <c r="B207" s="16"/>
      <c r="C207" s="23"/>
      <c r="D207" s="4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8.75" customHeight="1" x14ac:dyDescent="0.2">
      <c r="A208" s="22"/>
      <c r="B208" s="16"/>
      <c r="C208" s="23"/>
      <c r="D208" s="4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8.75" customHeight="1" x14ac:dyDescent="0.2">
      <c r="A209" s="22"/>
      <c r="B209" s="16"/>
      <c r="C209" s="23"/>
      <c r="D209" s="4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8.75" customHeight="1" x14ac:dyDescent="0.2">
      <c r="A210" s="22"/>
      <c r="B210" s="16"/>
      <c r="C210" s="23"/>
      <c r="D210" s="4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8.75" customHeight="1" x14ac:dyDescent="0.2">
      <c r="A211" s="22"/>
      <c r="B211" s="16"/>
      <c r="C211" s="23"/>
      <c r="D211" s="4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8.75" customHeight="1" x14ac:dyDescent="0.2">
      <c r="A212" s="22"/>
      <c r="B212" s="16"/>
      <c r="C212" s="23"/>
      <c r="D212" s="4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8.75" customHeight="1" x14ac:dyDescent="0.2">
      <c r="A213" s="22"/>
      <c r="B213" s="16"/>
      <c r="C213" s="23"/>
      <c r="D213" s="4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8.75" customHeight="1" x14ac:dyDescent="0.2">
      <c r="A214" s="22"/>
      <c r="B214" s="16"/>
      <c r="C214" s="23"/>
      <c r="D214" s="4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8.75" customHeight="1" x14ac:dyDescent="0.2">
      <c r="A215" s="22"/>
      <c r="B215" s="16"/>
      <c r="C215" s="23"/>
      <c r="D215" s="48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8.75" customHeight="1" x14ac:dyDescent="0.2">
      <c r="A216" s="22"/>
      <c r="B216" s="16"/>
      <c r="C216" s="23"/>
      <c r="D216" s="48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8.75" customHeight="1" x14ac:dyDescent="0.2">
      <c r="A217" s="22"/>
      <c r="B217" s="16"/>
      <c r="C217" s="23"/>
      <c r="D217" s="4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8.75" customHeight="1" x14ac:dyDescent="0.2">
      <c r="A218" s="22"/>
      <c r="B218" s="16"/>
      <c r="C218" s="23"/>
      <c r="D218" s="4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8.75" customHeight="1" x14ac:dyDescent="0.2">
      <c r="A219" s="22"/>
      <c r="B219" s="16"/>
      <c r="C219" s="23"/>
      <c r="D219" s="48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8.75" customHeight="1" x14ac:dyDescent="0.2">
      <c r="A220" s="22"/>
      <c r="B220" s="16"/>
      <c r="C220" s="23"/>
      <c r="D220" s="4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8.75" customHeight="1" x14ac:dyDescent="0.2">
      <c r="A221" s="22"/>
      <c r="B221" s="16"/>
      <c r="C221" s="23"/>
      <c r="D221" s="48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8.75" customHeight="1" x14ac:dyDescent="0.2">
      <c r="A222" s="22"/>
      <c r="B222" s="16"/>
      <c r="C222" s="23"/>
      <c r="D222" s="48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8.75" customHeight="1" x14ac:dyDescent="0.2">
      <c r="A223" s="22"/>
      <c r="B223" s="16"/>
      <c r="C223" s="23"/>
      <c r="D223" s="48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8.75" customHeight="1" x14ac:dyDescent="0.2">
      <c r="A224" s="22"/>
      <c r="B224" s="16"/>
      <c r="C224" s="23"/>
      <c r="D224" s="48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8.75" customHeight="1" x14ac:dyDescent="0.2">
      <c r="A225" s="22"/>
      <c r="B225" s="16"/>
      <c r="C225" s="23"/>
      <c r="D225" s="4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8.75" customHeight="1" x14ac:dyDescent="0.2">
      <c r="A226" s="22"/>
      <c r="B226" s="16"/>
      <c r="C226" s="23"/>
      <c r="D226" s="4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8.75" customHeight="1" x14ac:dyDescent="0.2">
      <c r="A227" s="22"/>
      <c r="B227" s="16"/>
      <c r="C227" s="23"/>
      <c r="D227" s="4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8.75" customHeight="1" x14ac:dyDescent="0.2">
      <c r="A228" s="22"/>
      <c r="B228" s="16"/>
      <c r="C228" s="23"/>
      <c r="D228" s="4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8.75" customHeight="1" x14ac:dyDescent="0.2">
      <c r="A229" s="22"/>
      <c r="B229" s="16"/>
      <c r="C229" s="23"/>
      <c r="D229" s="4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8.75" customHeight="1" x14ac:dyDescent="0.2">
      <c r="A230" s="22"/>
      <c r="B230" s="16"/>
      <c r="C230" s="23"/>
      <c r="D230" s="48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8.75" customHeight="1" x14ac:dyDescent="0.2">
      <c r="A231" s="22"/>
      <c r="B231" s="16"/>
      <c r="C231" s="23"/>
      <c r="D231" s="4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8.75" customHeight="1" x14ac:dyDescent="0.2">
      <c r="A232" s="22"/>
      <c r="B232" s="16"/>
      <c r="C232" s="23"/>
      <c r="D232" s="4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8.75" customHeight="1" x14ac:dyDescent="0.2">
      <c r="A233" s="22"/>
      <c r="B233" s="16"/>
      <c r="C233" s="23"/>
      <c r="D233" s="4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8.75" customHeight="1" x14ac:dyDescent="0.2">
      <c r="A234" s="22"/>
      <c r="B234" s="16"/>
      <c r="C234" s="23"/>
      <c r="D234" s="4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8.75" customHeight="1" x14ac:dyDescent="0.2">
      <c r="A235" s="22"/>
      <c r="B235" s="16"/>
      <c r="C235" s="23"/>
      <c r="D235" s="48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8.75" customHeight="1" x14ac:dyDescent="0.2">
      <c r="A236" s="22"/>
      <c r="B236" s="16"/>
      <c r="C236" s="23"/>
      <c r="D236" s="4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8.75" customHeight="1" x14ac:dyDescent="0.2">
      <c r="A237" s="22"/>
      <c r="B237" s="16"/>
      <c r="C237" s="23"/>
      <c r="D237" s="48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8.75" customHeight="1" x14ac:dyDescent="0.2">
      <c r="A238" s="22"/>
      <c r="B238" s="16"/>
      <c r="C238" s="23"/>
      <c r="D238" s="4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8.75" customHeight="1" x14ac:dyDescent="0.2">
      <c r="A239" s="22"/>
      <c r="B239" s="16"/>
      <c r="C239" s="23"/>
      <c r="D239" s="4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8.75" customHeight="1" x14ac:dyDescent="0.2">
      <c r="A240" s="22"/>
      <c r="B240" s="16"/>
      <c r="C240" s="23"/>
      <c r="D240" s="48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8.75" customHeight="1" x14ac:dyDescent="0.2">
      <c r="A241" s="22"/>
      <c r="B241" s="16"/>
      <c r="C241" s="23"/>
      <c r="D241" s="48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8.75" customHeight="1" x14ac:dyDescent="0.2">
      <c r="A242" s="22"/>
      <c r="B242" s="16"/>
      <c r="C242" s="23"/>
      <c r="D242" s="4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8.75" customHeight="1" x14ac:dyDescent="0.2">
      <c r="A243" s="22"/>
      <c r="B243" s="16"/>
      <c r="C243" s="23"/>
      <c r="D243" s="48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8.75" customHeight="1" x14ac:dyDescent="0.2">
      <c r="A244" s="22"/>
      <c r="B244" s="16"/>
      <c r="C244" s="23"/>
      <c r="D244" s="4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8.75" customHeight="1" x14ac:dyDescent="0.2">
      <c r="A245" s="22"/>
      <c r="B245" s="16"/>
      <c r="C245" s="23"/>
      <c r="D245" s="4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8.75" customHeight="1" x14ac:dyDescent="0.2">
      <c r="A246" s="22"/>
      <c r="B246" s="16"/>
      <c r="C246" s="23"/>
      <c r="D246" s="4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8.75" customHeight="1" x14ac:dyDescent="0.2">
      <c r="A247" s="22"/>
      <c r="B247" s="16"/>
      <c r="C247" s="23"/>
      <c r="D247" s="4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8.75" customHeight="1" x14ac:dyDescent="0.2">
      <c r="A248" s="22"/>
      <c r="B248" s="16"/>
      <c r="C248" s="23"/>
      <c r="D248" s="4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8.75" customHeight="1" x14ac:dyDescent="0.2">
      <c r="A249" s="22"/>
      <c r="B249" s="16"/>
      <c r="C249" s="23"/>
      <c r="D249" s="4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8.75" customHeight="1" x14ac:dyDescent="0.2">
      <c r="A250" s="22"/>
      <c r="B250" s="16"/>
      <c r="C250" s="23"/>
      <c r="D250" s="4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8.75" customHeight="1" x14ac:dyDescent="0.2">
      <c r="A251" s="22"/>
      <c r="B251" s="16"/>
      <c r="C251" s="23"/>
      <c r="D251" s="4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8.75" customHeight="1" x14ac:dyDescent="0.2">
      <c r="A252" s="22"/>
      <c r="B252" s="16"/>
      <c r="C252" s="23"/>
      <c r="D252" s="4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8.75" customHeight="1" x14ac:dyDescent="0.2">
      <c r="A253" s="22"/>
      <c r="B253" s="16"/>
      <c r="C253" s="23"/>
      <c r="D253" s="4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8.75" customHeight="1" x14ac:dyDescent="0.2">
      <c r="A254" s="22"/>
      <c r="B254" s="16"/>
      <c r="C254" s="23"/>
      <c r="D254" s="4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8.75" customHeight="1" x14ac:dyDescent="0.2">
      <c r="A255" s="22"/>
      <c r="B255" s="16"/>
      <c r="C255" s="23"/>
      <c r="D255" s="4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8.75" customHeight="1" x14ac:dyDescent="0.2">
      <c r="A256" s="22"/>
      <c r="B256" s="16"/>
      <c r="C256" s="23"/>
      <c r="D256" s="4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8.75" customHeight="1" x14ac:dyDescent="0.2">
      <c r="A257" s="22"/>
      <c r="B257" s="16"/>
      <c r="C257" s="23"/>
      <c r="D257" s="4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8.75" customHeight="1" x14ac:dyDescent="0.2">
      <c r="A258" s="22"/>
      <c r="B258" s="16"/>
      <c r="C258" s="23"/>
      <c r="D258" s="4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8.75" customHeight="1" x14ac:dyDescent="0.2">
      <c r="A259" s="22"/>
      <c r="B259" s="16"/>
      <c r="C259" s="23"/>
      <c r="D259" s="48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8.75" customHeight="1" x14ac:dyDescent="0.2">
      <c r="A260" s="22"/>
      <c r="B260" s="16"/>
      <c r="C260" s="23"/>
      <c r="D260" s="48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8.75" customHeight="1" x14ac:dyDescent="0.2">
      <c r="A261" s="22"/>
      <c r="B261" s="16"/>
      <c r="C261" s="23"/>
      <c r="D261" s="48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8.75" customHeight="1" x14ac:dyDescent="0.2">
      <c r="A262" s="22"/>
      <c r="B262" s="16"/>
      <c r="C262" s="23"/>
      <c r="D262" s="48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8.75" customHeight="1" x14ac:dyDescent="0.2">
      <c r="A263" s="22"/>
      <c r="B263" s="16"/>
      <c r="C263" s="23"/>
      <c r="D263" s="48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8.75" customHeight="1" x14ac:dyDescent="0.2">
      <c r="A264" s="22"/>
      <c r="B264" s="16"/>
      <c r="C264" s="23"/>
      <c r="D264" s="48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8.75" customHeight="1" x14ac:dyDescent="0.2">
      <c r="A265" s="22"/>
      <c r="B265" s="16"/>
      <c r="C265" s="23"/>
      <c r="D265" s="48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8.75" customHeight="1" x14ac:dyDescent="0.2">
      <c r="A266" s="22"/>
      <c r="B266" s="16"/>
      <c r="C266" s="23"/>
      <c r="D266" s="48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8.75" customHeight="1" x14ac:dyDescent="0.2">
      <c r="A267" s="22"/>
      <c r="B267" s="16"/>
      <c r="C267" s="23"/>
      <c r="D267" s="48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8.75" customHeight="1" x14ac:dyDescent="0.2">
      <c r="A268" s="22"/>
      <c r="B268" s="16"/>
      <c r="C268" s="23"/>
      <c r="D268" s="48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8.75" customHeight="1" x14ac:dyDescent="0.2">
      <c r="A269" s="22"/>
      <c r="B269" s="16"/>
      <c r="C269" s="23"/>
      <c r="D269" s="48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8.75" customHeight="1" x14ac:dyDescent="0.2">
      <c r="A270" s="22"/>
      <c r="B270" s="16"/>
      <c r="C270" s="23"/>
      <c r="D270" s="48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8.75" customHeight="1" x14ac:dyDescent="0.2">
      <c r="A271" s="22"/>
      <c r="B271" s="16"/>
      <c r="C271" s="23"/>
      <c r="D271" s="48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8.75" customHeight="1" x14ac:dyDescent="0.2">
      <c r="A272" s="22"/>
      <c r="B272" s="16"/>
      <c r="C272" s="23"/>
      <c r="D272" s="48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8.75" customHeight="1" x14ac:dyDescent="0.2">
      <c r="A273" s="22"/>
      <c r="B273" s="16"/>
      <c r="C273" s="23"/>
      <c r="D273" s="48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8.75" customHeight="1" x14ac:dyDescent="0.2">
      <c r="A274" s="22"/>
      <c r="B274" s="16"/>
      <c r="C274" s="23"/>
      <c r="D274" s="48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8.75" customHeight="1" x14ac:dyDescent="0.2">
      <c r="A275" s="22"/>
      <c r="B275" s="16"/>
      <c r="C275" s="23"/>
      <c r="D275" s="48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8.75" customHeight="1" x14ac:dyDescent="0.2">
      <c r="A276" s="22"/>
      <c r="B276" s="16"/>
      <c r="C276" s="23"/>
      <c r="D276" s="48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8.75" customHeight="1" x14ac:dyDescent="0.2">
      <c r="A277" s="22"/>
      <c r="B277" s="16"/>
      <c r="C277" s="23"/>
      <c r="D277" s="48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8.75" customHeight="1" x14ac:dyDescent="0.2">
      <c r="A278" s="22"/>
      <c r="B278" s="16"/>
      <c r="C278" s="23"/>
      <c r="D278" s="48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8.75" customHeight="1" x14ac:dyDescent="0.2">
      <c r="A279" s="22"/>
      <c r="B279" s="16"/>
      <c r="C279" s="23"/>
      <c r="D279" s="48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8.75" customHeight="1" x14ac:dyDescent="0.2">
      <c r="A280" s="22"/>
      <c r="B280" s="16"/>
      <c r="C280" s="23"/>
      <c r="D280" s="48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8.75" customHeight="1" x14ac:dyDescent="0.2">
      <c r="A281" s="22"/>
      <c r="B281" s="16"/>
      <c r="C281" s="23"/>
      <c r="D281" s="48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8.75" customHeight="1" x14ac:dyDescent="0.2">
      <c r="A282" s="22"/>
      <c r="B282" s="16"/>
      <c r="C282" s="23"/>
      <c r="D282" s="48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8.75" customHeight="1" x14ac:dyDescent="0.2">
      <c r="A283" s="22"/>
      <c r="B283" s="16"/>
      <c r="C283" s="23"/>
      <c r="D283" s="48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8.75" customHeight="1" x14ac:dyDescent="0.2">
      <c r="A284" s="22"/>
      <c r="B284" s="16"/>
      <c r="C284" s="23"/>
      <c r="D284" s="48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8.75" customHeight="1" x14ac:dyDescent="0.2">
      <c r="A285" s="22"/>
      <c r="B285" s="16"/>
      <c r="C285" s="23"/>
      <c r="D285" s="48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8.75" customHeight="1" x14ac:dyDescent="0.2">
      <c r="A286" s="22"/>
      <c r="B286" s="16"/>
      <c r="C286" s="23"/>
      <c r="D286" s="48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8.75" customHeight="1" x14ac:dyDescent="0.2">
      <c r="A287" s="22"/>
      <c r="B287" s="16"/>
      <c r="C287" s="23"/>
      <c r="D287" s="48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8.75" customHeight="1" x14ac:dyDescent="0.2">
      <c r="A288" s="22"/>
      <c r="B288" s="16"/>
      <c r="C288" s="23"/>
      <c r="D288" s="48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8.75" customHeight="1" x14ac:dyDescent="0.2">
      <c r="A289" s="22"/>
      <c r="B289" s="16"/>
      <c r="C289" s="23"/>
      <c r="D289" s="48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8.75" customHeight="1" x14ac:dyDescent="0.2">
      <c r="A290" s="22"/>
      <c r="B290" s="16"/>
      <c r="C290" s="23"/>
      <c r="D290" s="48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8.75" customHeight="1" x14ac:dyDescent="0.2">
      <c r="A291" s="22"/>
      <c r="B291" s="16"/>
      <c r="C291" s="23"/>
      <c r="D291" s="48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8.75" customHeight="1" x14ac:dyDescent="0.2">
      <c r="A292" s="22"/>
      <c r="B292" s="16"/>
      <c r="C292" s="23"/>
      <c r="D292" s="48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8.75" customHeight="1" x14ac:dyDescent="0.2">
      <c r="A293" s="22"/>
      <c r="B293" s="16"/>
      <c r="C293" s="23"/>
      <c r="D293" s="48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8.75" customHeight="1" x14ac:dyDescent="0.2">
      <c r="A294" s="22"/>
      <c r="B294" s="16"/>
      <c r="C294" s="23"/>
      <c r="D294" s="48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8.75" customHeight="1" x14ac:dyDescent="0.2">
      <c r="A295" s="22"/>
      <c r="B295" s="16"/>
      <c r="C295" s="23"/>
      <c r="D295" s="48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8.75" customHeight="1" x14ac:dyDescent="0.2">
      <c r="A296" s="22"/>
      <c r="B296" s="16"/>
      <c r="C296" s="23"/>
      <c r="D296" s="48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8.75" customHeight="1" x14ac:dyDescent="0.2">
      <c r="A297" s="22"/>
      <c r="B297" s="16"/>
      <c r="C297" s="23"/>
      <c r="D297" s="48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8.75" customHeight="1" x14ac:dyDescent="0.2">
      <c r="A298" s="22"/>
      <c r="B298" s="16"/>
      <c r="C298" s="23"/>
      <c r="D298" s="48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8.75" customHeight="1" x14ac:dyDescent="0.2">
      <c r="A299" s="22"/>
      <c r="B299" s="16"/>
      <c r="C299" s="23"/>
      <c r="D299" s="48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8.75" customHeight="1" x14ac:dyDescent="0.2">
      <c r="A300" s="22"/>
      <c r="B300" s="16"/>
      <c r="C300" s="23"/>
      <c r="D300" s="48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8.75" customHeight="1" x14ac:dyDescent="0.2">
      <c r="A301" s="22"/>
      <c r="B301" s="16"/>
      <c r="C301" s="23"/>
      <c r="D301" s="48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8.75" customHeight="1" x14ac:dyDescent="0.2">
      <c r="A302" s="22"/>
      <c r="B302" s="16"/>
      <c r="C302" s="23"/>
      <c r="D302" s="48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8.75" customHeight="1" x14ac:dyDescent="0.2">
      <c r="A303" s="22"/>
      <c r="B303" s="16"/>
      <c r="C303" s="23"/>
      <c r="D303" s="48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8.75" customHeight="1" x14ac:dyDescent="0.2">
      <c r="A304" s="22"/>
      <c r="B304" s="16"/>
      <c r="C304" s="23"/>
      <c r="D304" s="48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8.75" customHeight="1" x14ac:dyDescent="0.2">
      <c r="A305" s="22"/>
      <c r="B305" s="16"/>
      <c r="C305" s="23"/>
      <c r="D305" s="48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8.75" customHeight="1" x14ac:dyDescent="0.2">
      <c r="A306" s="22"/>
      <c r="B306" s="16"/>
      <c r="C306" s="23"/>
      <c r="D306" s="48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8.75" customHeight="1" x14ac:dyDescent="0.2">
      <c r="A307" s="22"/>
      <c r="B307" s="16"/>
      <c r="C307" s="23"/>
      <c r="D307" s="48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8.75" customHeight="1" x14ac:dyDescent="0.2">
      <c r="A308" s="22"/>
      <c r="B308" s="16"/>
      <c r="C308" s="23"/>
      <c r="D308" s="48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8.75" customHeight="1" x14ac:dyDescent="0.2">
      <c r="A309" s="22"/>
      <c r="B309" s="16"/>
      <c r="C309" s="23"/>
      <c r="D309" s="48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8.75" customHeight="1" x14ac:dyDescent="0.2">
      <c r="A310" s="22"/>
      <c r="B310" s="16"/>
      <c r="C310" s="23"/>
      <c r="D310" s="48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8.75" customHeight="1" x14ac:dyDescent="0.2">
      <c r="A311" s="22"/>
      <c r="B311" s="16"/>
      <c r="C311" s="23"/>
      <c r="D311" s="48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8.75" customHeight="1" x14ac:dyDescent="0.2">
      <c r="A312" s="22"/>
      <c r="B312" s="16"/>
      <c r="C312" s="23"/>
      <c r="D312" s="48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8.75" customHeight="1" x14ac:dyDescent="0.2">
      <c r="A313" s="22"/>
      <c r="B313" s="16"/>
      <c r="C313" s="23"/>
      <c r="D313" s="48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8.75" customHeight="1" x14ac:dyDescent="0.2">
      <c r="A314" s="22"/>
      <c r="B314" s="16"/>
      <c r="C314" s="23"/>
      <c r="D314" s="48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8.75" customHeight="1" x14ac:dyDescent="0.2">
      <c r="A315" s="22"/>
      <c r="B315" s="16"/>
      <c r="C315" s="23"/>
      <c r="D315" s="48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8.75" customHeight="1" x14ac:dyDescent="0.2">
      <c r="A316" s="22"/>
      <c r="B316" s="16"/>
      <c r="C316" s="23"/>
      <c r="D316" s="48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8.75" customHeight="1" x14ac:dyDescent="0.2">
      <c r="A317" s="22"/>
      <c r="B317" s="16"/>
      <c r="C317" s="23"/>
      <c r="D317" s="48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8.75" customHeight="1" x14ac:dyDescent="0.2">
      <c r="A318" s="22"/>
      <c r="B318" s="16"/>
      <c r="C318" s="23"/>
      <c r="D318" s="48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8.75" customHeight="1" x14ac:dyDescent="0.2">
      <c r="A319" s="22"/>
      <c r="B319" s="16"/>
      <c r="C319" s="23"/>
      <c r="D319" s="48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8.75" customHeight="1" x14ac:dyDescent="0.2">
      <c r="A320" s="22"/>
      <c r="B320" s="16"/>
      <c r="C320" s="23"/>
      <c r="D320" s="48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8.75" customHeight="1" x14ac:dyDescent="0.2">
      <c r="A321" s="22"/>
      <c r="B321" s="16"/>
      <c r="C321" s="23"/>
      <c r="D321" s="48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8.75" customHeight="1" x14ac:dyDescent="0.2">
      <c r="A322" s="22"/>
      <c r="B322" s="16"/>
      <c r="C322" s="23"/>
      <c r="D322" s="48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8.75" customHeight="1" x14ac:dyDescent="0.2">
      <c r="A323" s="22"/>
      <c r="B323" s="16"/>
      <c r="C323" s="23"/>
      <c r="D323" s="48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8.75" customHeight="1" x14ac:dyDescent="0.2">
      <c r="A324" s="22"/>
      <c r="B324" s="16"/>
      <c r="C324" s="23"/>
      <c r="D324" s="48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8.75" customHeight="1" x14ac:dyDescent="0.2">
      <c r="A325" s="22"/>
      <c r="B325" s="16"/>
      <c r="C325" s="23"/>
      <c r="D325" s="48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8.75" customHeight="1" x14ac:dyDescent="0.2">
      <c r="A326" s="22"/>
      <c r="B326" s="16"/>
      <c r="C326" s="23"/>
      <c r="D326" s="48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8.75" customHeight="1" x14ac:dyDescent="0.2">
      <c r="A327" s="22"/>
      <c r="B327" s="16"/>
      <c r="C327" s="23"/>
      <c r="D327" s="48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8.75" customHeight="1" x14ac:dyDescent="0.2">
      <c r="A328" s="22"/>
      <c r="B328" s="16"/>
      <c r="C328" s="23"/>
      <c r="D328" s="48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8.75" customHeight="1" x14ac:dyDescent="0.2">
      <c r="A329" s="22"/>
      <c r="B329" s="16"/>
      <c r="C329" s="23"/>
      <c r="D329" s="48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8.75" customHeight="1" x14ac:dyDescent="0.2">
      <c r="A330" s="22"/>
      <c r="B330" s="16"/>
      <c r="C330" s="23"/>
      <c r="D330" s="48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8.75" customHeight="1" x14ac:dyDescent="0.2">
      <c r="A331" s="22"/>
      <c r="B331" s="16"/>
      <c r="C331" s="23"/>
      <c r="D331" s="48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8.75" customHeight="1" x14ac:dyDescent="0.2">
      <c r="A332" s="22"/>
      <c r="B332" s="16"/>
      <c r="C332" s="23"/>
      <c r="D332" s="48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8.75" customHeight="1" x14ac:dyDescent="0.2">
      <c r="A333" s="22"/>
      <c r="B333" s="16"/>
      <c r="C333" s="23"/>
      <c r="D333" s="48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8.75" customHeight="1" x14ac:dyDescent="0.2">
      <c r="A334" s="22"/>
      <c r="B334" s="16"/>
      <c r="C334" s="23"/>
      <c r="D334" s="48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8.75" customHeight="1" x14ac:dyDescent="0.2">
      <c r="A335" s="22"/>
      <c r="B335" s="16"/>
      <c r="C335" s="23"/>
      <c r="D335" s="48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8.75" customHeight="1" x14ac:dyDescent="0.2">
      <c r="A336" s="22"/>
      <c r="B336" s="16"/>
      <c r="C336" s="23"/>
      <c r="D336" s="48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8.75" customHeight="1" x14ac:dyDescent="0.2">
      <c r="A337" s="22"/>
      <c r="B337" s="16"/>
      <c r="C337" s="23"/>
      <c r="D337" s="48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8.75" customHeight="1" x14ac:dyDescent="0.2">
      <c r="A338" s="22"/>
      <c r="B338" s="16"/>
      <c r="C338" s="23"/>
      <c r="D338" s="48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8.75" customHeight="1" x14ac:dyDescent="0.2">
      <c r="A339" s="22"/>
      <c r="B339" s="16"/>
      <c r="C339" s="23"/>
      <c r="D339" s="48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8.75" customHeight="1" x14ac:dyDescent="0.2">
      <c r="A340" s="22"/>
      <c r="B340" s="16"/>
      <c r="C340" s="23"/>
      <c r="D340" s="48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8.75" customHeight="1" x14ac:dyDescent="0.2">
      <c r="A341" s="22"/>
      <c r="B341" s="16"/>
      <c r="C341" s="23"/>
      <c r="D341" s="48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8.75" customHeight="1" x14ac:dyDescent="0.2">
      <c r="A342" s="22"/>
      <c r="B342" s="16"/>
      <c r="C342" s="23"/>
      <c r="D342" s="48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8.75" customHeight="1" x14ac:dyDescent="0.2">
      <c r="A343" s="22"/>
      <c r="B343" s="16"/>
      <c r="C343" s="23"/>
      <c r="D343" s="48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8.75" customHeight="1" x14ac:dyDescent="0.2">
      <c r="A344" s="22"/>
      <c r="B344" s="16"/>
      <c r="C344" s="23"/>
      <c r="D344" s="48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8.75" customHeight="1" x14ac:dyDescent="0.2">
      <c r="A345" s="22"/>
      <c r="B345" s="16"/>
      <c r="C345" s="23"/>
      <c r="D345" s="48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8.75" customHeight="1" x14ac:dyDescent="0.2">
      <c r="A346" s="22"/>
      <c r="B346" s="16"/>
      <c r="C346" s="23"/>
      <c r="D346" s="48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8.75" customHeight="1" x14ac:dyDescent="0.2">
      <c r="A347" s="22"/>
      <c r="B347" s="16"/>
      <c r="C347" s="23"/>
      <c r="D347" s="48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8.75" customHeight="1" x14ac:dyDescent="0.2">
      <c r="A348" s="22"/>
      <c r="B348" s="16"/>
      <c r="C348" s="23"/>
      <c r="D348" s="48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8.75" customHeight="1" x14ac:dyDescent="0.2">
      <c r="A349" s="22"/>
      <c r="B349" s="16"/>
      <c r="C349" s="23"/>
      <c r="D349" s="48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8.75" customHeight="1" x14ac:dyDescent="0.2">
      <c r="A350" s="22"/>
      <c r="B350" s="16"/>
      <c r="C350" s="23"/>
      <c r="D350" s="48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8.75" customHeight="1" x14ac:dyDescent="0.2">
      <c r="A351" s="22"/>
      <c r="B351" s="16"/>
      <c r="C351" s="23"/>
      <c r="D351" s="48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8.75" customHeight="1" x14ac:dyDescent="0.2">
      <c r="A352" s="22"/>
      <c r="B352" s="16"/>
      <c r="C352" s="23"/>
      <c r="D352" s="48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8.75" customHeight="1" x14ac:dyDescent="0.2">
      <c r="A353" s="22"/>
      <c r="B353" s="16"/>
      <c r="C353" s="23"/>
      <c r="D353" s="48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8.75" customHeight="1" x14ac:dyDescent="0.2">
      <c r="A354" s="22"/>
      <c r="B354" s="16"/>
      <c r="C354" s="23"/>
      <c r="D354" s="48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8.75" customHeight="1" x14ac:dyDescent="0.2">
      <c r="A355" s="22"/>
      <c r="B355" s="16"/>
      <c r="C355" s="23"/>
      <c r="D355" s="48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8.75" customHeight="1" x14ac:dyDescent="0.2">
      <c r="A356" s="22"/>
      <c r="B356" s="16"/>
      <c r="C356" s="23"/>
      <c r="D356" s="48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8.75" customHeight="1" x14ac:dyDescent="0.2">
      <c r="A357" s="22"/>
      <c r="B357" s="16"/>
      <c r="C357" s="23"/>
      <c r="D357" s="48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8.75" customHeight="1" x14ac:dyDescent="0.2">
      <c r="A358" s="22"/>
      <c r="B358" s="16"/>
      <c r="C358" s="23"/>
      <c r="D358" s="48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8.75" customHeight="1" x14ac:dyDescent="0.2">
      <c r="A359" s="22"/>
      <c r="B359" s="16"/>
      <c r="C359" s="23"/>
      <c r="D359" s="48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8.75" customHeight="1" x14ac:dyDescent="0.2">
      <c r="A360" s="22"/>
      <c r="B360" s="16"/>
      <c r="C360" s="23"/>
      <c r="D360" s="48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8.75" customHeight="1" x14ac:dyDescent="0.2">
      <c r="A361" s="22"/>
      <c r="B361" s="16"/>
      <c r="C361" s="23"/>
      <c r="D361" s="48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8.75" customHeight="1" x14ac:dyDescent="0.2">
      <c r="A362" s="22"/>
      <c r="B362" s="16"/>
      <c r="C362" s="23"/>
      <c r="D362" s="48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8.75" customHeight="1" x14ac:dyDescent="0.2">
      <c r="A363" s="22"/>
      <c r="B363" s="16"/>
      <c r="C363" s="23"/>
      <c r="D363" s="48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8.75" customHeight="1" x14ac:dyDescent="0.2">
      <c r="A364" s="22"/>
      <c r="B364" s="16"/>
      <c r="C364" s="23"/>
      <c r="D364" s="48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8.75" customHeight="1" x14ac:dyDescent="0.2">
      <c r="A365" s="22"/>
      <c r="B365" s="16"/>
      <c r="C365" s="23"/>
      <c r="D365" s="48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8.75" customHeight="1" x14ac:dyDescent="0.2">
      <c r="A366" s="22"/>
      <c r="B366" s="16"/>
      <c r="C366" s="23"/>
      <c r="D366" s="48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8.75" customHeight="1" x14ac:dyDescent="0.2">
      <c r="A367" s="22"/>
      <c r="B367" s="16"/>
      <c r="C367" s="23"/>
      <c r="D367" s="48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8.75" customHeight="1" x14ac:dyDescent="0.2">
      <c r="A368" s="22"/>
      <c r="B368" s="16"/>
      <c r="C368" s="23"/>
      <c r="D368" s="48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8.75" customHeight="1" x14ac:dyDescent="0.2">
      <c r="A369" s="22"/>
      <c r="B369" s="16"/>
      <c r="C369" s="23"/>
      <c r="D369" s="48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8.75" customHeight="1" x14ac:dyDescent="0.2">
      <c r="A370" s="22"/>
      <c r="B370" s="16"/>
      <c r="C370" s="23"/>
      <c r="D370" s="48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8.75" customHeight="1" x14ac:dyDescent="0.2">
      <c r="A371" s="22"/>
      <c r="B371" s="16"/>
      <c r="C371" s="23"/>
      <c r="D371" s="48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8.75" customHeight="1" x14ac:dyDescent="0.2">
      <c r="A372" s="22"/>
      <c r="B372" s="16"/>
      <c r="C372" s="23"/>
      <c r="D372" s="48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8.75" customHeight="1" x14ac:dyDescent="0.2">
      <c r="A373" s="22"/>
      <c r="B373" s="16"/>
      <c r="C373" s="23"/>
      <c r="D373" s="48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8.75" customHeight="1" x14ac:dyDescent="0.2">
      <c r="A374" s="22"/>
      <c r="B374" s="16"/>
      <c r="C374" s="23"/>
      <c r="D374" s="48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8.75" customHeight="1" x14ac:dyDescent="0.2">
      <c r="A375" s="22"/>
      <c r="B375" s="16"/>
      <c r="C375" s="23"/>
      <c r="D375" s="48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8.75" customHeight="1" x14ac:dyDescent="0.2">
      <c r="A376" s="22"/>
      <c r="B376" s="16"/>
      <c r="C376" s="23"/>
      <c r="D376" s="48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8.75" customHeight="1" x14ac:dyDescent="0.2">
      <c r="A377" s="22"/>
      <c r="B377" s="16"/>
      <c r="C377" s="23"/>
      <c r="D377" s="48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8.75" customHeight="1" x14ac:dyDescent="0.2">
      <c r="A378" s="22"/>
      <c r="B378" s="16"/>
      <c r="C378" s="23"/>
      <c r="D378" s="48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8.75" customHeight="1" x14ac:dyDescent="0.2">
      <c r="A379" s="22"/>
      <c r="B379" s="16"/>
      <c r="C379" s="23"/>
      <c r="D379" s="48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8.75" customHeight="1" x14ac:dyDescent="0.2">
      <c r="A380" s="22"/>
      <c r="B380" s="16"/>
      <c r="C380" s="23"/>
      <c r="D380" s="48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8.75" customHeight="1" x14ac:dyDescent="0.2">
      <c r="A381" s="22"/>
      <c r="B381" s="16"/>
      <c r="C381" s="23"/>
      <c r="D381" s="48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8.75" customHeight="1" x14ac:dyDescent="0.2">
      <c r="A382" s="22"/>
      <c r="B382" s="16"/>
      <c r="C382" s="23"/>
      <c r="D382" s="48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8.75" customHeight="1" x14ac:dyDescent="0.2">
      <c r="A383" s="22"/>
      <c r="B383" s="16"/>
      <c r="C383" s="23"/>
      <c r="D383" s="48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8.75" customHeight="1" x14ac:dyDescent="0.2">
      <c r="A384" s="22"/>
      <c r="B384" s="16"/>
      <c r="C384" s="23"/>
      <c r="D384" s="48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8.75" customHeight="1" x14ac:dyDescent="0.2">
      <c r="A385" s="22"/>
      <c r="B385" s="16"/>
      <c r="C385" s="23"/>
      <c r="D385" s="48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8.75" customHeight="1" x14ac:dyDescent="0.2">
      <c r="A386" s="22"/>
      <c r="B386" s="16"/>
      <c r="C386" s="23"/>
      <c r="D386" s="48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8.75" customHeight="1" x14ac:dyDescent="0.2">
      <c r="A387" s="22"/>
      <c r="B387" s="16"/>
      <c r="C387" s="23"/>
      <c r="D387" s="48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8.75" customHeight="1" x14ac:dyDescent="0.2">
      <c r="A388" s="22"/>
      <c r="B388" s="16"/>
      <c r="C388" s="23"/>
      <c r="D388" s="48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8.75" customHeight="1" x14ac:dyDescent="0.2">
      <c r="A389" s="22"/>
      <c r="B389" s="16"/>
      <c r="C389" s="23"/>
      <c r="D389" s="48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8.75" customHeight="1" x14ac:dyDescent="0.2">
      <c r="A390" s="22"/>
      <c r="B390" s="16"/>
      <c r="C390" s="23"/>
      <c r="D390" s="48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8.75" customHeight="1" x14ac:dyDescent="0.2">
      <c r="A391" s="22"/>
      <c r="B391" s="16"/>
      <c r="C391" s="23"/>
      <c r="D391" s="48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8.75" customHeight="1" x14ac:dyDescent="0.2">
      <c r="A392" s="22"/>
      <c r="B392" s="16"/>
      <c r="C392" s="23"/>
      <c r="D392" s="48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8.75" customHeight="1" x14ac:dyDescent="0.2">
      <c r="A393" s="22"/>
      <c r="B393" s="16"/>
      <c r="C393" s="23"/>
      <c r="D393" s="48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8.75" customHeight="1" x14ac:dyDescent="0.2">
      <c r="A394" s="22"/>
      <c r="B394" s="16"/>
      <c r="C394" s="23"/>
      <c r="D394" s="48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8.75" customHeight="1" x14ac:dyDescent="0.2">
      <c r="A395" s="22"/>
      <c r="B395" s="16"/>
      <c r="C395" s="23"/>
      <c r="D395" s="48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8.75" customHeight="1" x14ac:dyDescent="0.2">
      <c r="A396" s="22"/>
      <c r="B396" s="16"/>
      <c r="C396" s="23"/>
      <c r="D396" s="48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8.75" customHeight="1" x14ac:dyDescent="0.2">
      <c r="A397" s="22"/>
      <c r="B397" s="16"/>
      <c r="C397" s="23"/>
      <c r="D397" s="48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8.75" customHeight="1" x14ac:dyDescent="0.2">
      <c r="A398" s="22"/>
      <c r="B398" s="16"/>
      <c r="C398" s="23"/>
      <c r="D398" s="48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8.75" customHeight="1" x14ac:dyDescent="0.2">
      <c r="A399" s="22"/>
      <c r="B399" s="16"/>
      <c r="C399" s="23"/>
      <c r="D399" s="48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8.75" customHeight="1" x14ac:dyDescent="0.2">
      <c r="A400" s="22"/>
      <c r="B400" s="16"/>
      <c r="C400" s="23"/>
      <c r="D400" s="48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8.75" customHeight="1" x14ac:dyDescent="0.2">
      <c r="A401" s="22"/>
      <c r="B401" s="16"/>
      <c r="C401" s="23"/>
      <c r="D401" s="48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8.75" customHeight="1" x14ac:dyDescent="0.2">
      <c r="A402" s="22"/>
      <c r="B402" s="16"/>
      <c r="C402" s="23"/>
      <c r="D402" s="48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8.75" customHeight="1" x14ac:dyDescent="0.2">
      <c r="A403" s="22"/>
      <c r="B403" s="16"/>
      <c r="C403" s="23"/>
      <c r="D403" s="48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8.75" customHeight="1" x14ac:dyDescent="0.2">
      <c r="A404" s="22"/>
      <c r="B404" s="16"/>
      <c r="C404" s="23"/>
      <c r="D404" s="48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8.75" customHeight="1" x14ac:dyDescent="0.2">
      <c r="A405" s="22"/>
      <c r="B405" s="16"/>
      <c r="C405" s="23"/>
      <c r="D405" s="48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8.75" customHeight="1" x14ac:dyDescent="0.2">
      <c r="A406" s="22"/>
      <c r="B406" s="16"/>
      <c r="C406" s="23"/>
      <c r="D406" s="48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8.75" customHeight="1" x14ac:dyDescent="0.2">
      <c r="A407" s="22"/>
      <c r="B407" s="16"/>
      <c r="C407" s="23"/>
      <c r="D407" s="48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8.75" customHeight="1" x14ac:dyDescent="0.2">
      <c r="A408" s="22"/>
      <c r="B408" s="16"/>
      <c r="C408" s="23"/>
      <c r="D408" s="48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8.75" customHeight="1" x14ac:dyDescent="0.2">
      <c r="A409" s="22"/>
      <c r="B409" s="16"/>
      <c r="C409" s="23"/>
      <c r="D409" s="48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8.75" customHeight="1" x14ac:dyDescent="0.2">
      <c r="A410" s="22"/>
      <c r="B410" s="16"/>
      <c r="C410" s="23"/>
      <c r="D410" s="48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8.75" customHeight="1" x14ac:dyDescent="0.2">
      <c r="A411" s="22"/>
      <c r="B411" s="16"/>
      <c r="C411" s="23"/>
      <c r="D411" s="48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8.75" customHeight="1" x14ac:dyDescent="0.2">
      <c r="A412" s="22"/>
      <c r="B412" s="16"/>
      <c r="C412" s="23"/>
      <c r="D412" s="48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8.75" customHeight="1" x14ac:dyDescent="0.2">
      <c r="A413" s="22"/>
      <c r="B413" s="16"/>
      <c r="C413" s="23"/>
      <c r="D413" s="48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8.75" customHeight="1" x14ac:dyDescent="0.2">
      <c r="A414" s="22"/>
      <c r="B414" s="16"/>
      <c r="C414" s="23"/>
      <c r="D414" s="48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8.75" customHeight="1" x14ac:dyDescent="0.2">
      <c r="A415" s="22"/>
      <c r="B415" s="16"/>
      <c r="C415" s="23"/>
      <c r="D415" s="48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8.75" customHeight="1" x14ac:dyDescent="0.2">
      <c r="A416" s="22"/>
      <c r="B416" s="16"/>
      <c r="C416" s="23"/>
      <c r="D416" s="48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8.75" customHeight="1" x14ac:dyDescent="0.2">
      <c r="A417" s="22"/>
      <c r="B417" s="16"/>
      <c r="C417" s="23"/>
      <c r="D417" s="48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8.75" customHeight="1" x14ac:dyDescent="0.2">
      <c r="A418" s="22"/>
      <c r="B418" s="16"/>
      <c r="C418" s="23"/>
      <c r="D418" s="48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8.75" customHeight="1" x14ac:dyDescent="0.2">
      <c r="A419" s="22"/>
      <c r="B419" s="16"/>
      <c r="C419" s="23"/>
      <c r="D419" s="48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8.75" customHeight="1" x14ac:dyDescent="0.2">
      <c r="A420" s="22"/>
      <c r="B420" s="16"/>
      <c r="C420" s="23"/>
      <c r="D420" s="48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8.75" customHeight="1" x14ac:dyDescent="0.2">
      <c r="A421" s="22"/>
      <c r="B421" s="16"/>
      <c r="C421" s="23"/>
      <c r="D421" s="48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8.75" customHeight="1" x14ac:dyDescent="0.2">
      <c r="A422" s="22"/>
      <c r="B422" s="16"/>
      <c r="C422" s="23"/>
      <c r="D422" s="48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8.75" customHeight="1" x14ac:dyDescent="0.2">
      <c r="A423" s="22"/>
      <c r="B423" s="16"/>
      <c r="C423" s="23"/>
      <c r="D423" s="48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8.75" customHeight="1" x14ac:dyDescent="0.2">
      <c r="A424" s="22"/>
      <c r="B424" s="16"/>
      <c r="C424" s="23"/>
      <c r="D424" s="48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8.75" customHeight="1" x14ac:dyDescent="0.2">
      <c r="A425" s="22"/>
      <c r="B425" s="16"/>
      <c r="C425" s="23"/>
      <c r="D425" s="48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8.75" customHeight="1" x14ac:dyDescent="0.2">
      <c r="A426" s="22"/>
      <c r="B426" s="16"/>
      <c r="C426" s="23"/>
      <c r="D426" s="48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8.75" customHeight="1" x14ac:dyDescent="0.2">
      <c r="A427" s="22"/>
      <c r="B427" s="16"/>
      <c r="C427" s="23"/>
      <c r="D427" s="48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8.75" customHeight="1" x14ac:dyDescent="0.2">
      <c r="A428" s="22"/>
      <c r="B428" s="16"/>
      <c r="C428" s="23"/>
      <c r="D428" s="48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8.75" customHeight="1" x14ac:dyDescent="0.2">
      <c r="A429" s="22"/>
      <c r="B429" s="16"/>
      <c r="C429" s="23"/>
      <c r="D429" s="48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8.75" customHeight="1" x14ac:dyDescent="0.2">
      <c r="A430" s="22"/>
      <c r="B430" s="16"/>
      <c r="C430" s="23"/>
      <c r="D430" s="48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8.75" customHeight="1" x14ac:dyDescent="0.2">
      <c r="A431" s="22"/>
      <c r="B431" s="16"/>
      <c r="C431" s="23"/>
      <c r="D431" s="48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8.75" customHeight="1" x14ac:dyDescent="0.2">
      <c r="A432" s="22"/>
      <c r="B432" s="16"/>
      <c r="C432" s="23"/>
      <c r="D432" s="48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8.75" customHeight="1" x14ac:dyDescent="0.2">
      <c r="A433" s="22"/>
      <c r="B433" s="16"/>
      <c r="C433" s="23"/>
      <c r="D433" s="48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8.75" customHeight="1" x14ac:dyDescent="0.2">
      <c r="A434" s="22"/>
      <c r="B434" s="16"/>
      <c r="C434" s="23"/>
      <c r="D434" s="48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8.75" customHeight="1" x14ac:dyDescent="0.2">
      <c r="A435" s="22"/>
      <c r="B435" s="16"/>
      <c r="C435" s="23"/>
      <c r="D435" s="48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8.75" customHeight="1" x14ac:dyDescent="0.2">
      <c r="A436" s="22"/>
      <c r="B436" s="16"/>
      <c r="C436" s="23"/>
      <c r="D436" s="48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8.75" customHeight="1" x14ac:dyDescent="0.2">
      <c r="A437" s="22"/>
      <c r="B437" s="16"/>
      <c r="C437" s="23"/>
      <c r="D437" s="48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8.75" customHeight="1" x14ac:dyDescent="0.2">
      <c r="A438" s="22"/>
      <c r="B438" s="16"/>
      <c r="C438" s="23"/>
      <c r="D438" s="48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8.75" customHeight="1" x14ac:dyDescent="0.2">
      <c r="A439" s="22"/>
      <c r="B439" s="16"/>
      <c r="C439" s="23"/>
      <c r="D439" s="48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8.75" customHeight="1" x14ac:dyDescent="0.2">
      <c r="A440" s="22"/>
      <c r="B440" s="16"/>
      <c r="C440" s="23"/>
      <c r="D440" s="48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8.75" customHeight="1" x14ac:dyDescent="0.2">
      <c r="A441" s="22"/>
      <c r="B441" s="16"/>
      <c r="C441" s="23"/>
      <c r="D441" s="48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8.75" customHeight="1" x14ac:dyDescent="0.2">
      <c r="A442" s="22"/>
      <c r="B442" s="16"/>
      <c r="C442" s="23"/>
      <c r="D442" s="48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8.75" customHeight="1" x14ac:dyDescent="0.2">
      <c r="A443" s="22"/>
      <c r="B443" s="16"/>
      <c r="C443" s="23"/>
      <c r="D443" s="48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8.75" customHeight="1" x14ac:dyDescent="0.2">
      <c r="A444" s="22"/>
      <c r="B444" s="16"/>
      <c r="C444" s="23"/>
      <c r="D444" s="48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8.75" customHeight="1" x14ac:dyDescent="0.2">
      <c r="A445" s="22"/>
      <c r="B445" s="16"/>
      <c r="C445" s="23"/>
      <c r="D445" s="48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8.75" customHeight="1" x14ac:dyDescent="0.2">
      <c r="A446" s="22"/>
      <c r="B446" s="16"/>
      <c r="C446" s="23"/>
      <c r="D446" s="48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8.75" customHeight="1" x14ac:dyDescent="0.2">
      <c r="A447" s="22"/>
      <c r="B447" s="16"/>
      <c r="C447" s="23"/>
      <c r="D447" s="48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8.75" customHeight="1" x14ac:dyDescent="0.2">
      <c r="A448" s="22"/>
      <c r="B448" s="16"/>
      <c r="C448" s="23"/>
      <c r="D448" s="48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8.75" customHeight="1" x14ac:dyDescent="0.2">
      <c r="A449" s="22"/>
      <c r="B449" s="16"/>
      <c r="C449" s="23"/>
      <c r="D449" s="48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8.75" customHeight="1" x14ac:dyDescent="0.2">
      <c r="A450" s="22"/>
      <c r="B450" s="16"/>
      <c r="C450" s="23"/>
      <c r="D450" s="48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8.75" customHeight="1" x14ac:dyDescent="0.2">
      <c r="A451" s="22"/>
      <c r="B451" s="16"/>
      <c r="C451" s="23"/>
      <c r="D451" s="48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8.75" customHeight="1" x14ac:dyDescent="0.2">
      <c r="A452" s="22"/>
      <c r="B452" s="16"/>
      <c r="C452" s="23"/>
      <c r="D452" s="48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8.75" customHeight="1" x14ac:dyDescent="0.2">
      <c r="A453" s="22"/>
      <c r="B453" s="16"/>
      <c r="C453" s="23"/>
      <c r="D453" s="48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8.75" customHeight="1" x14ac:dyDescent="0.2">
      <c r="A454" s="22"/>
      <c r="B454" s="16"/>
      <c r="C454" s="23"/>
      <c r="D454" s="48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8.75" customHeight="1" x14ac:dyDescent="0.2">
      <c r="A455" s="22"/>
      <c r="B455" s="16"/>
      <c r="C455" s="23"/>
      <c r="D455" s="48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8.75" customHeight="1" x14ac:dyDescent="0.2">
      <c r="A456" s="22"/>
      <c r="B456" s="16"/>
      <c r="C456" s="23"/>
      <c r="D456" s="48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8.75" customHeight="1" x14ac:dyDescent="0.2">
      <c r="A457" s="22"/>
      <c r="B457" s="16"/>
      <c r="C457" s="23"/>
      <c r="D457" s="48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8.75" customHeight="1" x14ac:dyDescent="0.2">
      <c r="A458" s="22"/>
      <c r="B458" s="16"/>
      <c r="C458" s="23"/>
      <c r="D458" s="48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8.75" customHeight="1" x14ac:dyDescent="0.2">
      <c r="A459" s="22"/>
      <c r="B459" s="16"/>
      <c r="C459" s="23"/>
      <c r="D459" s="48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8.75" customHeight="1" x14ac:dyDescent="0.2">
      <c r="A460" s="22"/>
      <c r="B460" s="16"/>
      <c r="C460" s="23"/>
      <c r="D460" s="48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8.75" customHeight="1" x14ac:dyDescent="0.2">
      <c r="A461" s="22"/>
      <c r="B461" s="16"/>
      <c r="C461" s="23"/>
      <c r="D461" s="48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8.75" customHeight="1" x14ac:dyDescent="0.2">
      <c r="A462" s="22"/>
      <c r="B462" s="16"/>
      <c r="C462" s="23"/>
      <c r="D462" s="48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8.75" customHeight="1" x14ac:dyDescent="0.2">
      <c r="A463" s="22"/>
      <c r="B463" s="16"/>
      <c r="C463" s="23"/>
      <c r="D463" s="48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8.75" customHeight="1" x14ac:dyDescent="0.2">
      <c r="A464" s="22"/>
      <c r="B464" s="16"/>
      <c r="C464" s="23"/>
      <c r="D464" s="48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8.75" customHeight="1" x14ac:dyDescent="0.2">
      <c r="A465" s="22"/>
      <c r="B465" s="16"/>
      <c r="C465" s="23"/>
      <c r="D465" s="48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8.75" customHeight="1" x14ac:dyDescent="0.2">
      <c r="A466" s="22"/>
      <c r="B466" s="16"/>
      <c r="C466" s="23"/>
      <c r="D466" s="48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8.75" customHeight="1" x14ac:dyDescent="0.2">
      <c r="A467" s="22"/>
      <c r="B467" s="16"/>
      <c r="C467" s="23"/>
      <c r="D467" s="48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8.75" customHeight="1" x14ac:dyDescent="0.2">
      <c r="A468" s="22"/>
      <c r="B468" s="16"/>
      <c r="C468" s="23"/>
      <c r="D468" s="48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8.75" customHeight="1" x14ac:dyDescent="0.2">
      <c r="A469" s="22"/>
      <c r="B469" s="16"/>
      <c r="C469" s="23"/>
      <c r="D469" s="48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8.75" customHeight="1" x14ac:dyDescent="0.2">
      <c r="A470" s="22"/>
      <c r="B470" s="16"/>
      <c r="C470" s="23"/>
      <c r="D470" s="48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8.75" customHeight="1" x14ac:dyDescent="0.2">
      <c r="A471" s="22"/>
      <c r="B471" s="16"/>
      <c r="C471" s="23"/>
      <c r="D471" s="48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8.75" customHeight="1" x14ac:dyDescent="0.2">
      <c r="A472" s="22"/>
      <c r="B472" s="16"/>
      <c r="C472" s="23"/>
      <c r="D472" s="48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8.75" customHeight="1" x14ac:dyDescent="0.2">
      <c r="A473" s="22"/>
      <c r="B473" s="16"/>
      <c r="C473" s="23"/>
      <c r="D473" s="48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8.75" customHeight="1" x14ac:dyDescent="0.2">
      <c r="A474" s="22"/>
      <c r="B474" s="16"/>
      <c r="C474" s="23"/>
      <c r="D474" s="48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8.75" customHeight="1" x14ac:dyDescent="0.2">
      <c r="A475" s="22"/>
      <c r="B475" s="16"/>
      <c r="C475" s="23"/>
      <c r="D475" s="48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8.75" customHeight="1" x14ac:dyDescent="0.2">
      <c r="A476" s="22"/>
      <c r="B476" s="16"/>
      <c r="C476" s="23"/>
      <c r="D476" s="48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8.75" customHeight="1" x14ac:dyDescent="0.2">
      <c r="A477" s="22"/>
      <c r="B477" s="16"/>
      <c r="C477" s="23"/>
      <c r="D477" s="48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8.75" customHeight="1" x14ac:dyDescent="0.2">
      <c r="A478" s="22"/>
      <c r="B478" s="16"/>
      <c r="C478" s="23"/>
      <c r="D478" s="48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8.75" customHeight="1" x14ac:dyDescent="0.2">
      <c r="A479" s="22"/>
      <c r="B479" s="16"/>
      <c r="C479" s="23"/>
      <c r="D479" s="48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8.75" customHeight="1" x14ac:dyDescent="0.2">
      <c r="A480" s="22"/>
      <c r="B480" s="16"/>
      <c r="C480" s="23"/>
      <c r="D480" s="48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8.75" customHeight="1" x14ac:dyDescent="0.2">
      <c r="A481" s="22"/>
      <c r="B481" s="16"/>
      <c r="C481" s="23"/>
      <c r="D481" s="48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8.75" customHeight="1" x14ac:dyDescent="0.2">
      <c r="A482" s="22"/>
      <c r="B482" s="16"/>
      <c r="C482" s="23"/>
      <c r="D482" s="48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8.75" customHeight="1" x14ac:dyDescent="0.2">
      <c r="A483" s="22"/>
      <c r="B483" s="16"/>
      <c r="C483" s="23"/>
      <c r="D483" s="48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8.75" customHeight="1" x14ac:dyDescent="0.2">
      <c r="A484" s="22"/>
      <c r="B484" s="16"/>
      <c r="C484" s="23"/>
      <c r="D484" s="48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8.75" customHeight="1" x14ac:dyDescent="0.2">
      <c r="A485" s="22"/>
      <c r="B485" s="16"/>
      <c r="C485" s="23"/>
      <c r="D485" s="48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8.75" customHeight="1" x14ac:dyDescent="0.2">
      <c r="A486" s="22"/>
      <c r="B486" s="16"/>
      <c r="C486" s="23"/>
      <c r="D486" s="48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8.75" customHeight="1" x14ac:dyDescent="0.2">
      <c r="A487" s="22"/>
      <c r="B487" s="16"/>
      <c r="C487" s="23"/>
      <c r="D487" s="48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8.75" customHeight="1" x14ac:dyDescent="0.2">
      <c r="A488" s="22"/>
      <c r="B488" s="16"/>
      <c r="C488" s="23"/>
      <c r="D488" s="48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8.75" customHeight="1" x14ac:dyDescent="0.2">
      <c r="A489" s="22"/>
      <c r="B489" s="16"/>
      <c r="C489" s="23"/>
      <c r="D489" s="48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8.75" customHeight="1" x14ac:dyDescent="0.2">
      <c r="A490" s="22"/>
      <c r="B490" s="16"/>
      <c r="C490" s="23"/>
      <c r="D490" s="48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8.75" customHeight="1" x14ac:dyDescent="0.2">
      <c r="A491" s="22"/>
      <c r="B491" s="16"/>
      <c r="C491" s="23"/>
      <c r="D491" s="48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8.75" customHeight="1" x14ac:dyDescent="0.2">
      <c r="A492" s="22"/>
      <c r="B492" s="16"/>
      <c r="C492" s="23"/>
      <c r="D492" s="48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8.75" customHeight="1" x14ac:dyDescent="0.2">
      <c r="A493" s="22"/>
      <c r="B493" s="16"/>
      <c r="C493" s="23"/>
      <c r="D493" s="48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8.75" customHeight="1" x14ac:dyDescent="0.2">
      <c r="A494" s="22"/>
      <c r="B494" s="16"/>
      <c r="C494" s="23"/>
      <c r="D494" s="48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8.75" customHeight="1" x14ac:dyDescent="0.2">
      <c r="A495" s="22"/>
      <c r="B495" s="16"/>
      <c r="C495" s="23"/>
      <c r="D495" s="48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8.75" customHeight="1" x14ac:dyDescent="0.2">
      <c r="A496" s="22"/>
      <c r="B496" s="16"/>
      <c r="C496" s="23"/>
      <c r="D496" s="48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8.75" customHeight="1" x14ac:dyDescent="0.2">
      <c r="A497" s="22"/>
      <c r="B497" s="16"/>
      <c r="C497" s="23"/>
      <c r="D497" s="48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8.75" customHeight="1" x14ac:dyDescent="0.2">
      <c r="A498" s="22"/>
      <c r="B498" s="16"/>
      <c r="C498" s="23"/>
      <c r="D498" s="48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8.75" customHeight="1" x14ac:dyDescent="0.2">
      <c r="A499" s="22"/>
      <c r="B499" s="16"/>
      <c r="C499" s="23"/>
      <c r="D499" s="48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8.75" customHeight="1" x14ac:dyDescent="0.2">
      <c r="A500" s="22"/>
      <c r="B500" s="16"/>
      <c r="C500" s="23"/>
      <c r="D500" s="48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8.75" customHeight="1" x14ac:dyDescent="0.2">
      <c r="A501" s="22"/>
      <c r="B501" s="16"/>
      <c r="C501" s="23"/>
      <c r="D501" s="48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8.75" customHeight="1" x14ac:dyDescent="0.2">
      <c r="A502" s="22"/>
      <c r="B502" s="16"/>
      <c r="C502" s="23"/>
      <c r="D502" s="48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8.75" customHeight="1" x14ac:dyDescent="0.2">
      <c r="A503" s="22"/>
      <c r="B503" s="16"/>
      <c r="C503" s="23"/>
      <c r="D503" s="48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8.75" customHeight="1" x14ac:dyDescent="0.2">
      <c r="A504" s="22"/>
      <c r="B504" s="16"/>
      <c r="C504" s="23"/>
      <c r="D504" s="48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8.75" customHeight="1" x14ac:dyDescent="0.2">
      <c r="A505" s="22"/>
      <c r="B505" s="16"/>
      <c r="C505" s="23"/>
      <c r="D505" s="48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8.75" customHeight="1" x14ac:dyDescent="0.2">
      <c r="A506" s="22"/>
      <c r="B506" s="16"/>
      <c r="C506" s="23"/>
      <c r="D506" s="48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8.75" customHeight="1" x14ac:dyDescent="0.2">
      <c r="A507" s="22"/>
      <c r="B507" s="16"/>
      <c r="C507" s="23"/>
      <c r="D507" s="48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8.75" customHeight="1" x14ac:dyDescent="0.2">
      <c r="A508" s="22"/>
      <c r="B508" s="16"/>
      <c r="C508" s="23"/>
      <c r="D508" s="48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8.75" customHeight="1" x14ac:dyDescent="0.2">
      <c r="A509" s="22"/>
      <c r="B509" s="16"/>
      <c r="C509" s="23"/>
      <c r="D509" s="48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8.75" customHeight="1" x14ac:dyDescent="0.2">
      <c r="A510" s="22"/>
      <c r="B510" s="16"/>
      <c r="C510" s="23"/>
      <c r="D510" s="48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8.75" customHeight="1" x14ac:dyDescent="0.2">
      <c r="A511" s="22"/>
      <c r="B511" s="16"/>
      <c r="C511" s="23"/>
      <c r="D511" s="48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8.75" customHeight="1" x14ac:dyDescent="0.2">
      <c r="A512" s="22"/>
      <c r="B512" s="16"/>
      <c r="C512" s="23"/>
      <c r="D512" s="48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8.75" customHeight="1" x14ac:dyDescent="0.2">
      <c r="A513" s="22"/>
      <c r="B513" s="16"/>
      <c r="C513" s="23"/>
      <c r="D513" s="48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8.75" customHeight="1" x14ac:dyDescent="0.2">
      <c r="A514" s="22"/>
      <c r="B514" s="16"/>
      <c r="C514" s="23"/>
      <c r="D514" s="48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8.75" customHeight="1" x14ac:dyDescent="0.2">
      <c r="A515" s="22"/>
      <c r="B515" s="16"/>
      <c r="C515" s="23"/>
      <c r="D515" s="48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8.75" customHeight="1" x14ac:dyDescent="0.2">
      <c r="A516" s="22"/>
      <c r="B516" s="16"/>
      <c r="C516" s="23"/>
      <c r="D516" s="48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8.75" customHeight="1" x14ac:dyDescent="0.2">
      <c r="A517" s="22"/>
      <c r="B517" s="16"/>
      <c r="C517" s="23"/>
      <c r="D517" s="48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8.75" customHeight="1" x14ac:dyDescent="0.2">
      <c r="A518" s="22"/>
      <c r="B518" s="16"/>
      <c r="C518" s="23"/>
      <c r="D518" s="48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8.75" customHeight="1" x14ac:dyDescent="0.2">
      <c r="A519" s="22"/>
      <c r="B519" s="16"/>
      <c r="C519" s="23"/>
      <c r="D519" s="48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8.75" customHeight="1" x14ac:dyDescent="0.2">
      <c r="A520" s="22"/>
      <c r="B520" s="16"/>
      <c r="C520" s="23"/>
      <c r="D520" s="48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8.75" customHeight="1" x14ac:dyDescent="0.2">
      <c r="A521" s="22"/>
      <c r="B521" s="16"/>
      <c r="C521" s="23"/>
      <c r="D521" s="48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8.75" customHeight="1" x14ac:dyDescent="0.2">
      <c r="A522" s="22"/>
      <c r="B522" s="16"/>
      <c r="C522" s="23"/>
      <c r="D522" s="48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8.75" customHeight="1" x14ac:dyDescent="0.2">
      <c r="A523" s="22"/>
      <c r="B523" s="16"/>
      <c r="C523" s="23"/>
      <c r="D523" s="48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8.75" customHeight="1" x14ac:dyDescent="0.2">
      <c r="A524" s="22"/>
      <c r="B524" s="16"/>
      <c r="C524" s="23"/>
      <c r="D524" s="48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8.75" customHeight="1" x14ac:dyDescent="0.2">
      <c r="A525" s="22"/>
      <c r="B525" s="16"/>
      <c r="C525" s="23"/>
      <c r="D525" s="48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8.75" customHeight="1" x14ac:dyDescent="0.2">
      <c r="A526" s="22"/>
      <c r="B526" s="16"/>
      <c r="C526" s="23"/>
      <c r="D526" s="48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8.75" customHeight="1" x14ac:dyDescent="0.2">
      <c r="A527" s="22"/>
      <c r="B527" s="16"/>
      <c r="C527" s="23"/>
      <c r="D527" s="48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8.75" customHeight="1" x14ac:dyDescent="0.2">
      <c r="A528" s="22"/>
      <c r="B528" s="16"/>
      <c r="C528" s="23"/>
      <c r="D528" s="48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8.75" customHeight="1" x14ac:dyDescent="0.2">
      <c r="A529" s="22"/>
      <c r="B529" s="16"/>
      <c r="C529" s="23"/>
      <c r="D529" s="48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8.75" customHeight="1" x14ac:dyDescent="0.2">
      <c r="A530" s="22"/>
      <c r="B530" s="16"/>
      <c r="C530" s="23"/>
      <c r="D530" s="48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8.75" customHeight="1" x14ac:dyDescent="0.2">
      <c r="A531" s="22"/>
      <c r="B531" s="16"/>
      <c r="C531" s="23"/>
      <c r="D531" s="48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8.75" customHeight="1" x14ac:dyDescent="0.2">
      <c r="A532" s="22"/>
      <c r="B532" s="16"/>
      <c r="C532" s="23"/>
      <c r="D532" s="48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8.75" customHeight="1" x14ac:dyDescent="0.2">
      <c r="A533" s="22"/>
      <c r="B533" s="16"/>
      <c r="C533" s="23"/>
      <c r="D533" s="48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8.75" customHeight="1" x14ac:dyDescent="0.2">
      <c r="A534" s="22"/>
      <c r="B534" s="16"/>
      <c r="C534" s="23"/>
      <c r="D534" s="48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8.75" customHeight="1" x14ac:dyDescent="0.2">
      <c r="A535" s="22"/>
      <c r="B535" s="16"/>
      <c r="C535" s="23"/>
      <c r="D535" s="48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8.75" customHeight="1" x14ac:dyDescent="0.2">
      <c r="A536" s="22"/>
      <c r="B536" s="16"/>
      <c r="C536" s="23"/>
      <c r="D536" s="48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8.75" customHeight="1" x14ac:dyDescent="0.2">
      <c r="A537" s="22"/>
      <c r="B537" s="16"/>
      <c r="C537" s="23"/>
      <c r="D537" s="48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8.75" customHeight="1" x14ac:dyDescent="0.2">
      <c r="A538" s="22"/>
      <c r="B538" s="16"/>
      <c r="C538" s="23"/>
      <c r="D538" s="48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8.75" customHeight="1" x14ac:dyDescent="0.2">
      <c r="A539" s="22"/>
      <c r="B539" s="16"/>
      <c r="C539" s="23"/>
      <c r="D539" s="48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8.75" customHeight="1" x14ac:dyDescent="0.2">
      <c r="A540" s="22"/>
      <c r="B540" s="16"/>
      <c r="C540" s="23"/>
      <c r="D540" s="48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8.75" customHeight="1" x14ac:dyDescent="0.2">
      <c r="A541" s="22"/>
      <c r="B541" s="16"/>
      <c r="C541" s="23"/>
      <c r="D541" s="48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8.75" customHeight="1" x14ac:dyDescent="0.2">
      <c r="A542" s="22"/>
      <c r="B542" s="16"/>
      <c r="C542" s="23"/>
      <c r="D542" s="48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8.75" customHeight="1" x14ac:dyDescent="0.2">
      <c r="A543" s="22"/>
      <c r="B543" s="16"/>
      <c r="C543" s="23"/>
      <c r="D543" s="48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8.75" customHeight="1" x14ac:dyDescent="0.2">
      <c r="A544" s="22"/>
      <c r="B544" s="16"/>
      <c r="C544" s="23"/>
      <c r="D544" s="48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8.75" customHeight="1" x14ac:dyDescent="0.2">
      <c r="A545" s="22"/>
      <c r="B545" s="16"/>
      <c r="C545" s="23"/>
      <c r="D545" s="48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8.75" customHeight="1" x14ac:dyDescent="0.2">
      <c r="A546" s="22"/>
      <c r="B546" s="16"/>
      <c r="C546" s="23"/>
      <c r="D546" s="48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8.75" customHeight="1" x14ac:dyDescent="0.2">
      <c r="A547" s="22"/>
      <c r="B547" s="16"/>
      <c r="C547" s="23"/>
      <c r="D547" s="48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8.75" customHeight="1" x14ac:dyDescent="0.2">
      <c r="A548" s="22"/>
      <c r="B548" s="16"/>
      <c r="C548" s="23"/>
      <c r="D548" s="48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8.75" customHeight="1" x14ac:dyDescent="0.2">
      <c r="A549" s="22"/>
      <c r="B549" s="16"/>
      <c r="C549" s="23"/>
      <c r="D549" s="48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8.75" customHeight="1" x14ac:dyDescent="0.2">
      <c r="A550" s="22"/>
      <c r="B550" s="16"/>
      <c r="C550" s="23"/>
      <c r="D550" s="48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8.75" customHeight="1" x14ac:dyDescent="0.2">
      <c r="A551" s="22"/>
      <c r="B551" s="16"/>
      <c r="C551" s="23"/>
      <c r="D551" s="48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8.75" customHeight="1" x14ac:dyDescent="0.2">
      <c r="A552" s="22"/>
      <c r="B552" s="16"/>
      <c r="C552" s="23"/>
      <c r="D552" s="48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8.75" customHeight="1" x14ac:dyDescent="0.2">
      <c r="A553" s="22"/>
      <c r="B553" s="16"/>
      <c r="C553" s="23"/>
      <c r="D553" s="48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8.75" customHeight="1" x14ac:dyDescent="0.2">
      <c r="A554" s="22"/>
      <c r="B554" s="16"/>
      <c r="C554" s="23"/>
      <c r="D554" s="48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8.75" customHeight="1" x14ac:dyDescent="0.2">
      <c r="A555" s="22"/>
      <c r="B555" s="16"/>
      <c r="C555" s="23"/>
      <c r="D555" s="48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8.75" customHeight="1" x14ac:dyDescent="0.2">
      <c r="A556" s="22"/>
      <c r="B556" s="16"/>
      <c r="C556" s="23"/>
      <c r="D556" s="48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8.75" customHeight="1" x14ac:dyDescent="0.2">
      <c r="A557" s="22"/>
      <c r="B557" s="16"/>
      <c r="C557" s="23"/>
      <c r="D557" s="48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8.75" customHeight="1" x14ac:dyDescent="0.2">
      <c r="A558" s="22"/>
      <c r="B558" s="16"/>
      <c r="C558" s="23"/>
      <c r="D558" s="48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8.75" customHeight="1" x14ac:dyDescent="0.2">
      <c r="A559" s="22"/>
      <c r="B559" s="16"/>
      <c r="C559" s="23"/>
      <c r="D559" s="48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8.75" customHeight="1" x14ac:dyDescent="0.2">
      <c r="A560" s="22"/>
      <c r="B560" s="16"/>
      <c r="C560" s="23"/>
      <c r="D560" s="48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8.75" customHeight="1" x14ac:dyDescent="0.2">
      <c r="A561" s="22"/>
      <c r="B561" s="16"/>
      <c r="C561" s="23"/>
      <c r="D561" s="48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8.75" customHeight="1" x14ac:dyDescent="0.2">
      <c r="A562" s="22"/>
      <c r="B562" s="16"/>
      <c r="C562" s="23"/>
      <c r="D562" s="48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8.75" customHeight="1" x14ac:dyDescent="0.2">
      <c r="A563" s="22"/>
      <c r="B563" s="16"/>
      <c r="C563" s="23"/>
      <c r="D563" s="48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8.75" customHeight="1" x14ac:dyDescent="0.2">
      <c r="A564" s="22"/>
      <c r="B564" s="16"/>
      <c r="C564" s="23"/>
      <c r="D564" s="48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8.75" customHeight="1" x14ac:dyDescent="0.2">
      <c r="A565" s="22"/>
      <c r="B565" s="16"/>
      <c r="C565" s="23"/>
      <c r="D565" s="48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8.75" customHeight="1" x14ac:dyDescent="0.2">
      <c r="A566" s="22"/>
      <c r="B566" s="16"/>
      <c r="C566" s="23"/>
      <c r="D566" s="48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8.75" customHeight="1" x14ac:dyDescent="0.2">
      <c r="A567" s="22"/>
      <c r="B567" s="16"/>
      <c r="C567" s="23"/>
      <c r="D567" s="48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8.75" customHeight="1" x14ac:dyDescent="0.2">
      <c r="A568" s="22"/>
      <c r="B568" s="16"/>
      <c r="C568" s="23"/>
      <c r="D568" s="48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8.75" customHeight="1" x14ac:dyDescent="0.2">
      <c r="A569" s="22"/>
      <c r="B569" s="16"/>
      <c r="C569" s="23"/>
      <c r="D569" s="48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8.75" customHeight="1" x14ac:dyDescent="0.2">
      <c r="A570" s="22"/>
      <c r="B570" s="16"/>
      <c r="C570" s="23"/>
      <c r="D570" s="48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8.75" customHeight="1" x14ac:dyDescent="0.2">
      <c r="A571" s="22"/>
      <c r="B571" s="16"/>
      <c r="C571" s="23"/>
      <c r="D571" s="48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8.75" customHeight="1" x14ac:dyDescent="0.2">
      <c r="A572" s="22"/>
      <c r="B572" s="16"/>
      <c r="C572" s="23"/>
      <c r="D572" s="48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8.75" customHeight="1" x14ac:dyDescent="0.2">
      <c r="A573" s="22"/>
      <c r="B573" s="16"/>
      <c r="C573" s="23"/>
      <c r="D573" s="48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8.75" customHeight="1" x14ac:dyDescent="0.2">
      <c r="A574" s="22"/>
      <c r="B574" s="16"/>
      <c r="C574" s="23"/>
      <c r="D574" s="48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8.75" customHeight="1" x14ac:dyDescent="0.2">
      <c r="A575" s="22"/>
      <c r="B575" s="16"/>
      <c r="C575" s="23"/>
      <c r="D575" s="48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8.75" customHeight="1" x14ac:dyDescent="0.2">
      <c r="A576" s="22"/>
      <c r="B576" s="16"/>
      <c r="C576" s="23"/>
      <c r="D576" s="48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8.75" customHeight="1" x14ac:dyDescent="0.2">
      <c r="A577" s="22"/>
      <c r="B577" s="16"/>
      <c r="C577" s="23"/>
      <c r="D577" s="48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8.75" customHeight="1" x14ac:dyDescent="0.2">
      <c r="A578" s="22"/>
      <c r="B578" s="16"/>
      <c r="C578" s="23"/>
      <c r="D578" s="48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8.75" customHeight="1" x14ac:dyDescent="0.2">
      <c r="A579" s="22"/>
      <c r="B579" s="16"/>
      <c r="C579" s="23"/>
      <c r="D579" s="48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8.75" customHeight="1" x14ac:dyDescent="0.2">
      <c r="A580" s="22"/>
      <c r="B580" s="16"/>
      <c r="C580" s="23"/>
      <c r="D580" s="48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8.75" customHeight="1" x14ac:dyDescent="0.2">
      <c r="A581" s="22"/>
      <c r="B581" s="16"/>
      <c r="C581" s="23"/>
      <c r="D581" s="48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8.75" customHeight="1" x14ac:dyDescent="0.2">
      <c r="A582" s="22"/>
      <c r="B582" s="16"/>
      <c r="C582" s="23"/>
      <c r="D582" s="48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8.75" customHeight="1" x14ac:dyDescent="0.2">
      <c r="A583" s="22"/>
      <c r="B583" s="16"/>
      <c r="C583" s="23"/>
      <c r="D583" s="48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8.75" customHeight="1" x14ac:dyDescent="0.2">
      <c r="A584" s="22"/>
      <c r="B584" s="16"/>
      <c r="C584" s="23"/>
      <c r="D584" s="48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8.75" customHeight="1" x14ac:dyDescent="0.2">
      <c r="A585" s="22"/>
      <c r="B585" s="16"/>
      <c r="C585" s="23"/>
      <c r="D585" s="48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8.75" customHeight="1" x14ac:dyDescent="0.2">
      <c r="A586" s="22"/>
      <c r="B586" s="16"/>
      <c r="C586" s="23"/>
      <c r="D586" s="48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8.75" customHeight="1" x14ac:dyDescent="0.2">
      <c r="A587" s="22"/>
      <c r="B587" s="16"/>
      <c r="C587" s="23"/>
      <c r="D587" s="48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8.75" customHeight="1" x14ac:dyDescent="0.2">
      <c r="A588" s="22"/>
      <c r="B588" s="16"/>
      <c r="C588" s="23"/>
      <c r="D588" s="48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8.75" customHeight="1" x14ac:dyDescent="0.2">
      <c r="A589" s="22"/>
      <c r="B589" s="16"/>
      <c r="C589" s="23"/>
      <c r="D589" s="48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8.75" customHeight="1" x14ac:dyDescent="0.2">
      <c r="A590" s="22"/>
      <c r="B590" s="16"/>
      <c r="C590" s="23"/>
      <c r="D590" s="48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8.75" customHeight="1" x14ac:dyDescent="0.2">
      <c r="A591" s="22"/>
      <c r="B591" s="16"/>
      <c r="C591" s="23"/>
      <c r="D591" s="48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8.75" customHeight="1" x14ac:dyDescent="0.2">
      <c r="A592" s="22"/>
      <c r="B592" s="16"/>
      <c r="C592" s="23"/>
      <c r="D592" s="48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8.75" customHeight="1" x14ac:dyDescent="0.2">
      <c r="A593" s="22"/>
      <c r="B593" s="16"/>
      <c r="C593" s="23"/>
      <c r="D593" s="48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8.75" customHeight="1" x14ac:dyDescent="0.2">
      <c r="A594" s="22"/>
      <c r="B594" s="16"/>
      <c r="C594" s="23"/>
      <c r="D594" s="48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8.75" customHeight="1" x14ac:dyDescent="0.2">
      <c r="A595" s="22"/>
      <c r="B595" s="16"/>
      <c r="C595" s="23"/>
      <c r="D595" s="48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8.75" customHeight="1" x14ac:dyDescent="0.2">
      <c r="A596" s="22"/>
      <c r="B596" s="16"/>
      <c r="C596" s="23"/>
      <c r="D596" s="48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8.75" customHeight="1" x14ac:dyDescent="0.2">
      <c r="A597" s="22"/>
      <c r="B597" s="16"/>
      <c r="C597" s="23"/>
      <c r="D597" s="48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8.75" customHeight="1" x14ac:dyDescent="0.2">
      <c r="A598" s="22"/>
      <c r="B598" s="16"/>
      <c r="C598" s="23"/>
      <c r="D598" s="48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8.75" customHeight="1" x14ac:dyDescent="0.2">
      <c r="A599" s="22"/>
      <c r="B599" s="16"/>
      <c r="C599" s="23"/>
      <c r="D599" s="48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8.75" customHeight="1" x14ac:dyDescent="0.2">
      <c r="A600" s="22"/>
      <c r="B600" s="16"/>
      <c r="C600" s="23"/>
      <c r="D600" s="48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8.75" customHeight="1" x14ac:dyDescent="0.2">
      <c r="A601" s="22"/>
      <c r="B601" s="16"/>
      <c r="C601" s="23"/>
      <c r="D601" s="48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8.75" customHeight="1" x14ac:dyDescent="0.2">
      <c r="A602" s="22"/>
      <c r="B602" s="16"/>
      <c r="C602" s="23"/>
      <c r="D602" s="48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8.75" customHeight="1" x14ac:dyDescent="0.2">
      <c r="A603" s="22"/>
      <c r="B603" s="16"/>
      <c r="C603" s="23"/>
      <c r="D603" s="48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8.75" customHeight="1" x14ac:dyDescent="0.2">
      <c r="A604" s="22"/>
      <c r="B604" s="16"/>
      <c r="C604" s="23"/>
      <c r="D604" s="48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8.75" customHeight="1" x14ac:dyDescent="0.2">
      <c r="A605" s="22"/>
      <c r="B605" s="16"/>
      <c r="C605" s="23"/>
      <c r="D605" s="48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8.75" customHeight="1" x14ac:dyDescent="0.2">
      <c r="A606" s="22"/>
      <c r="B606" s="16"/>
      <c r="C606" s="23"/>
      <c r="D606" s="48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8.75" customHeight="1" x14ac:dyDescent="0.2">
      <c r="A607" s="22"/>
      <c r="B607" s="16"/>
      <c r="C607" s="23"/>
      <c r="D607" s="48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8.75" customHeight="1" x14ac:dyDescent="0.2">
      <c r="A608" s="22"/>
      <c r="B608" s="16"/>
      <c r="C608" s="23"/>
      <c r="D608" s="48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8.75" customHeight="1" x14ac:dyDescent="0.2">
      <c r="A609" s="22"/>
      <c r="B609" s="16"/>
      <c r="C609" s="23"/>
      <c r="D609" s="48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8.75" customHeight="1" x14ac:dyDescent="0.2">
      <c r="A610" s="22"/>
      <c r="B610" s="16"/>
      <c r="C610" s="23"/>
      <c r="D610" s="48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8.75" customHeight="1" x14ac:dyDescent="0.2">
      <c r="A611" s="22"/>
      <c r="B611" s="16"/>
      <c r="C611" s="23"/>
      <c r="D611" s="48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8.75" customHeight="1" x14ac:dyDescent="0.2">
      <c r="A612" s="22"/>
      <c r="B612" s="16"/>
      <c r="C612" s="23"/>
      <c r="D612" s="48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8.75" customHeight="1" x14ac:dyDescent="0.2">
      <c r="A613" s="22"/>
      <c r="B613" s="16"/>
      <c r="C613" s="23"/>
      <c r="D613" s="48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8.75" customHeight="1" x14ac:dyDescent="0.2">
      <c r="A614" s="22"/>
      <c r="B614" s="16"/>
      <c r="C614" s="23"/>
      <c r="D614" s="48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8.75" customHeight="1" x14ac:dyDescent="0.2">
      <c r="A615" s="22"/>
      <c r="B615" s="16"/>
      <c r="C615" s="23"/>
      <c r="D615" s="48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8.75" customHeight="1" x14ac:dyDescent="0.2">
      <c r="A616" s="22"/>
      <c r="B616" s="16"/>
      <c r="C616" s="23"/>
      <c r="D616" s="48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8.75" customHeight="1" x14ac:dyDescent="0.2">
      <c r="A617" s="22"/>
      <c r="B617" s="16"/>
      <c r="C617" s="23"/>
      <c r="D617" s="48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8.75" customHeight="1" x14ac:dyDescent="0.2">
      <c r="A618" s="22"/>
      <c r="B618" s="16"/>
      <c r="C618" s="23"/>
      <c r="D618" s="48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8.75" customHeight="1" x14ac:dyDescent="0.2">
      <c r="A619" s="22"/>
      <c r="B619" s="16"/>
      <c r="C619" s="23"/>
      <c r="D619" s="48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8.75" customHeight="1" x14ac:dyDescent="0.2">
      <c r="A620" s="22"/>
      <c r="B620" s="16"/>
      <c r="C620" s="23"/>
      <c r="D620" s="48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8.75" customHeight="1" x14ac:dyDescent="0.2">
      <c r="A621" s="22"/>
      <c r="B621" s="16"/>
      <c r="C621" s="23"/>
      <c r="D621" s="48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8.75" customHeight="1" x14ac:dyDescent="0.2">
      <c r="A622" s="22"/>
      <c r="B622" s="16"/>
      <c r="C622" s="23"/>
      <c r="D622" s="48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8.75" customHeight="1" x14ac:dyDescent="0.2">
      <c r="A623" s="22"/>
      <c r="B623" s="16"/>
      <c r="C623" s="23"/>
      <c r="D623" s="48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8.75" customHeight="1" x14ac:dyDescent="0.2">
      <c r="A624" s="22"/>
      <c r="B624" s="16"/>
      <c r="C624" s="23"/>
      <c r="D624" s="48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8.75" customHeight="1" x14ac:dyDescent="0.2">
      <c r="A625" s="22"/>
      <c r="B625" s="16"/>
      <c r="C625" s="23"/>
      <c r="D625" s="48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8.75" customHeight="1" x14ac:dyDescent="0.2">
      <c r="A626" s="22"/>
      <c r="B626" s="16"/>
      <c r="C626" s="23"/>
      <c r="D626" s="48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8.75" customHeight="1" x14ac:dyDescent="0.2">
      <c r="A627" s="22"/>
      <c r="B627" s="16"/>
      <c r="C627" s="23"/>
      <c r="D627" s="48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8.75" customHeight="1" x14ac:dyDescent="0.2">
      <c r="A628" s="22"/>
      <c r="B628" s="16"/>
      <c r="C628" s="23"/>
      <c r="D628" s="48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8.75" customHeight="1" x14ac:dyDescent="0.2">
      <c r="A629" s="22"/>
      <c r="B629" s="16"/>
      <c r="C629" s="23"/>
      <c r="D629" s="48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8.75" customHeight="1" x14ac:dyDescent="0.2">
      <c r="A630" s="22"/>
      <c r="B630" s="16"/>
      <c r="C630" s="23"/>
      <c r="D630" s="48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8.75" customHeight="1" x14ac:dyDescent="0.2">
      <c r="A631" s="22"/>
      <c r="B631" s="16"/>
      <c r="C631" s="23"/>
      <c r="D631" s="48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8.75" customHeight="1" x14ac:dyDescent="0.2">
      <c r="A632" s="22"/>
      <c r="B632" s="16"/>
      <c r="C632" s="23"/>
      <c r="D632" s="48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8.75" customHeight="1" x14ac:dyDescent="0.2">
      <c r="A633" s="22"/>
      <c r="B633" s="16"/>
      <c r="C633" s="23"/>
      <c r="D633" s="48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8.75" customHeight="1" x14ac:dyDescent="0.2">
      <c r="A634" s="22"/>
      <c r="B634" s="16"/>
      <c r="C634" s="23"/>
      <c r="D634" s="48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8.75" customHeight="1" x14ac:dyDescent="0.2">
      <c r="A635" s="22"/>
      <c r="B635" s="16"/>
      <c r="C635" s="23"/>
      <c r="D635" s="48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8.75" customHeight="1" x14ac:dyDescent="0.2">
      <c r="A636" s="22"/>
      <c r="B636" s="16"/>
      <c r="C636" s="23"/>
      <c r="D636" s="48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8.75" customHeight="1" x14ac:dyDescent="0.2">
      <c r="A637" s="22"/>
      <c r="B637" s="16"/>
      <c r="C637" s="23"/>
      <c r="D637" s="48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8.75" customHeight="1" x14ac:dyDescent="0.2">
      <c r="A638" s="22"/>
      <c r="B638" s="16"/>
      <c r="C638" s="23"/>
      <c r="D638" s="48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8.75" customHeight="1" x14ac:dyDescent="0.2">
      <c r="A639" s="22"/>
      <c r="B639" s="16"/>
      <c r="C639" s="23"/>
      <c r="D639" s="48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8.75" customHeight="1" x14ac:dyDescent="0.2">
      <c r="A640" s="22"/>
      <c r="B640" s="16"/>
      <c r="C640" s="23"/>
      <c r="D640" s="48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8.75" customHeight="1" x14ac:dyDescent="0.2">
      <c r="A641" s="22"/>
      <c r="B641" s="16"/>
      <c r="C641" s="23"/>
      <c r="D641" s="48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8.75" customHeight="1" x14ac:dyDescent="0.2">
      <c r="A642" s="22"/>
      <c r="B642" s="16"/>
      <c r="C642" s="23"/>
      <c r="D642" s="48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8.75" customHeight="1" x14ac:dyDescent="0.2">
      <c r="A643" s="22"/>
      <c r="B643" s="16"/>
      <c r="C643" s="23"/>
      <c r="D643" s="48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8.75" customHeight="1" x14ac:dyDescent="0.2">
      <c r="A644" s="22"/>
      <c r="B644" s="16"/>
      <c r="C644" s="23"/>
      <c r="D644" s="48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8.75" customHeight="1" x14ac:dyDescent="0.2">
      <c r="A645" s="22"/>
      <c r="B645" s="16"/>
      <c r="C645" s="23"/>
      <c r="D645" s="48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8.75" customHeight="1" x14ac:dyDescent="0.2">
      <c r="A646" s="22"/>
      <c r="B646" s="16"/>
      <c r="C646" s="23"/>
      <c r="D646" s="48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8.75" customHeight="1" x14ac:dyDescent="0.2">
      <c r="A647" s="22"/>
      <c r="B647" s="16"/>
      <c r="C647" s="23"/>
      <c r="D647" s="48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8.75" customHeight="1" x14ac:dyDescent="0.2">
      <c r="A648" s="22"/>
      <c r="B648" s="16"/>
      <c r="C648" s="23"/>
      <c r="D648" s="48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8.75" customHeight="1" x14ac:dyDescent="0.2">
      <c r="A649" s="22"/>
      <c r="B649" s="16"/>
      <c r="C649" s="23"/>
      <c r="D649" s="48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8.75" customHeight="1" x14ac:dyDescent="0.2">
      <c r="A650" s="22"/>
      <c r="B650" s="16"/>
      <c r="C650" s="23"/>
      <c r="D650" s="48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8.75" customHeight="1" x14ac:dyDescent="0.2">
      <c r="A651" s="22"/>
      <c r="B651" s="16"/>
      <c r="C651" s="23"/>
      <c r="D651" s="48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8.75" customHeight="1" x14ac:dyDescent="0.2">
      <c r="A652" s="22"/>
      <c r="B652" s="16"/>
      <c r="C652" s="23"/>
      <c r="D652" s="48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8.75" customHeight="1" x14ac:dyDescent="0.2">
      <c r="A653" s="22"/>
      <c r="B653" s="16"/>
      <c r="C653" s="23"/>
      <c r="D653" s="48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8.75" customHeight="1" x14ac:dyDescent="0.2">
      <c r="A654" s="22"/>
      <c r="B654" s="16"/>
      <c r="C654" s="23"/>
      <c r="D654" s="48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8.75" customHeight="1" x14ac:dyDescent="0.2">
      <c r="A655" s="22"/>
      <c r="B655" s="16"/>
      <c r="C655" s="23"/>
      <c r="D655" s="48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8.75" customHeight="1" x14ac:dyDescent="0.2">
      <c r="A656" s="22"/>
      <c r="B656" s="16"/>
      <c r="C656" s="23"/>
      <c r="D656" s="48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8.75" customHeight="1" x14ac:dyDescent="0.2">
      <c r="A657" s="22"/>
      <c r="B657" s="16"/>
      <c r="C657" s="23"/>
      <c r="D657" s="48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8.75" customHeight="1" x14ac:dyDescent="0.2">
      <c r="A658" s="22"/>
      <c r="B658" s="16"/>
      <c r="C658" s="23"/>
      <c r="D658" s="48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8.75" customHeight="1" x14ac:dyDescent="0.2">
      <c r="A659" s="22"/>
      <c r="B659" s="16"/>
      <c r="C659" s="23"/>
      <c r="D659" s="48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8.75" customHeight="1" x14ac:dyDescent="0.2">
      <c r="A660" s="22"/>
      <c r="B660" s="16"/>
      <c r="C660" s="23"/>
      <c r="D660" s="48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8.75" customHeight="1" x14ac:dyDescent="0.2">
      <c r="A661" s="22"/>
      <c r="B661" s="16"/>
      <c r="C661" s="23"/>
      <c r="D661" s="48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8.75" customHeight="1" x14ac:dyDescent="0.2">
      <c r="A662" s="22"/>
      <c r="B662" s="16"/>
      <c r="C662" s="23"/>
      <c r="D662" s="48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8.75" customHeight="1" x14ac:dyDescent="0.2">
      <c r="A663" s="22"/>
      <c r="B663" s="16"/>
      <c r="C663" s="23"/>
      <c r="D663" s="48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8.75" customHeight="1" x14ac:dyDescent="0.2">
      <c r="A664" s="22"/>
      <c r="B664" s="16"/>
      <c r="C664" s="23"/>
      <c r="D664" s="48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8.75" customHeight="1" x14ac:dyDescent="0.2">
      <c r="A665" s="22"/>
      <c r="B665" s="16"/>
      <c r="C665" s="23"/>
      <c r="D665" s="48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8.75" customHeight="1" x14ac:dyDescent="0.2">
      <c r="A666" s="22"/>
      <c r="B666" s="16"/>
      <c r="C666" s="23"/>
      <c r="D666" s="48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8.75" customHeight="1" x14ac:dyDescent="0.2">
      <c r="A667" s="22"/>
      <c r="B667" s="16"/>
      <c r="C667" s="23"/>
      <c r="D667" s="48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8.75" customHeight="1" x14ac:dyDescent="0.2">
      <c r="A668" s="22"/>
      <c r="B668" s="16"/>
      <c r="C668" s="23"/>
      <c r="D668" s="48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8.75" customHeight="1" x14ac:dyDescent="0.2">
      <c r="A669" s="22"/>
      <c r="B669" s="16"/>
      <c r="C669" s="23"/>
      <c r="D669" s="48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8.75" customHeight="1" x14ac:dyDescent="0.2">
      <c r="A670" s="22"/>
      <c r="B670" s="16"/>
      <c r="C670" s="23"/>
      <c r="D670" s="48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8.75" customHeight="1" x14ac:dyDescent="0.2">
      <c r="A671" s="22"/>
      <c r="B671" s="16"/>
      <c r="C671" s="23"/>
      <c r="D671" s="48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8.75" customHeight="1" x14ac:dyDescent="0.2">
      <c r="A672" s="22"/>
      <c r="B672" s="16"/>
      <c r="C672" s="23"/>
      <c r="D672" s="48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8.75" customHeight="1" x14ac:dyDescent="0.2">
      <c r="A673" s="22"/>
      <c r="B673" s="16"/>
      <c r="C673" s="23"/>
      <c r="D673" s="48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8.75" customHeight="1" x14ac:dyDescent="0.2">
      <c r="A674" s="22"/>
      <c r="B674" s="16"/>
      <c r="C674" s="23"/>
      <c r="D674" s="48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8.75" customHeight="1" x14ac:dyDescent="0.2">
      <c r="A675" s="22"/>
      <c r="B675" s="16"/>
      <c r="C675" s="23"/>
      <c r="D675" s="48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8.75" customHeight="1" x14ac:dyDescent="0.2">
      <c r="A676" s="22"/>
      <c r="B676" s="16"/>
      <c r="C676" s="23"/>
      <c r="D676" s="48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8.75" customHeight="1" x14ac:dyDescent="0.2">
      <c r="A677" s="22"/>
      <c r="B677" s="16"/>
      <c r="C677" s="23"/>
      <c r="D677" s="48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8.75" customHeight="1" x14ac:dyDescent="0.2">
      <c r="A678" s="22"/>
      <c r="B678" s="16"/>
      <c r="C678" s="23"/>
      <c r="D678" s="48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8.75" customHeight="1" x14ac:dyDescent="0.2">
      <c r="A679" s="22"/>
      <c r="B679" s="16"/>
      <c r="C679" s="23"/>
      <c r="D679" s="48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8.75" customHeight="1" x14ac:dyDescent="0.2">
      <c r="A680" s="22"/>
      <c r="B680" s="16"/>
      <c r="C680" s="23"/>
      <c r="D680" s="48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8.75" customHeight="1" x14ac:dyDescent="0.2">
      <c r="A681" s="22"/>
      <c r="B681" s="16"/>
      <c r="C681" s="23"/>
      <c r="D681" s="48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8.75" customHeight="1" x14ac:dyDescent="0.2">
      <c r="A682" s="22"/>
      <c r="B682" s="16"/>
      <c r="C682" s="23"/>
      <c r="D682" s="48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8.75" customHeight="1" x14ac:dyDescent="0.2">
      <c r="A683" s="22"/>
      <c r="B683" s="16"/>
      <c r="C683" s="23"/>
      <c r="D683" s="48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8.75" customHeight="1" x14ac:dyDescent="0.2">
      <c r="A684" s="22"/>
      <c r="B684" s="16"/>
      <c r="C684" s="23"/>
      <c r="D684" s="48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8.75" customHeight="1" x14ac:dyDescent="0.2">
      <c r="A685" s="22"/>
      <c r="B685" s="16"/>
      <c r="C685" s="23"/>
      <c r="D685" s="48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8.75" customHeight="1" x14ac:dyDescent="0.2">
      <c r="A686" s="22"/>
      <c r="B686" s="16"/>
      <c r="C686" s="23"/>
      <c r="D686" s="48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8.75" customHeight="1" x14ac:dyDescent="0.2">
      <c r="A687" s="22"/>
      <c r="B687" s="16"/>
      <c r="C687" s="23"/>
      <c r="D687" s="48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8.75" customHeight="1" x14ac:dyDescent="0.2">
      <c r="A688" s="22"/>
      <c r="B688" s="16"/>
      <c r="C688" s="23"/>
      <c r="D688" s="48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8.75" customHeight="1" x14ac:dyDescent="0.2">
      <c r="A689" s="22"/>
      <c r="B689" s="16"/>
      <c r="C689" s="23"/>
      <c r="D689" s="48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8.75" customHeight="1" x14ac:dyDescent="0.2">
      <c r="A690" s="22"/>
      <c r="B690" s="16"/>
      <c r="C690" s="23"/>
      <c r="D690" s="48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8.75" customHeight="1" x14ac:dyDescent="0.2">
      <c r="A691" s="22"/>
      <c r="B691" s="16"/>
      <c r="C691" s="23"/>
      <c r="D691" s="48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8.75" customHeight="1" x14ac:dyDescent="0.2">
      <c r="A692" s="22"/>
      <c r="B692" s="16"/>
      <c r="C692" s="23"/>
      <c r="D692" s="48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8.75" customHeight="1" x14ac:dyDescent="0.2">
      <c r="A693" s="22"/>
      <c r="B693" s="16"/>
      <c r="C693" s="23"/>
      <c r="D693" s="48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8.75" customHeight="1" x14ac:dyDescent="0.2">
      <c r="A694" s="22"/>
      <c r="B694" s="16"/>
      <c r="C694" s="23"/>
      <c r="D694" s="48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8.75" customHeight="1" x14ac:dyDescent="0.2">
      <c r="A695" s="22"/>
      <c r="B695" s="16"/>
      <c r="C695" s="23"/>
      <c r="D695" s="48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8.75" customHeight="1" x14ac:dyDescent="0.2">
      <c r="A696" s="22"/>
      <c r="B696" s="16"/>
      <c r="C696" s="23"/>
      <c r="D696" s="48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8.75" customHeight="1" x14ac:dyDescent="0.2">
      <c r="A697" s="22"/>
      <c r="B697" s="16"/>
      <c r="C697" s="23"/>
      <c r="D697" s="48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8.75" customHeight="1" x14ac:dyDescent="0.2">
      <c r="A698" s="22"/>
      <c r="B698" s="16"/>
      <c r="C698" s="23"/>
      <c r="D698" s="48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8.75" customHeight="1" x14ac:dyDescent="0.2">
      <c r="A699" s="22"/>
      <c r="B699" s="16"/>
      <c r="C699" s="23"/>
      <c r="D699" s="48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8.75" customHeight="1" x14ac:dyDescent="0.2">
      <c r="A700" s="22"/>
      <c r="B700" s="16"/>
      <c r="C700" s="23"/>
      <c r="D700" s="48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8.75" customHeight="1" x14ac:dyDescent="0.2">
      <c r="A701" s="22"/>
      <c r="B701" s="16"/>
      <c r="C701" s="23"/>
      <c r="D701" s="48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8.75" customHeight="1" x14ac:dyDescent="0.2">
      <c r="A702" s="22"/>
      <c r="B702" s="16"/>
      <c r="C702" s="23"/>
      <c r="D702" s="48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8.75" customHeight="1" x14ac:dyDescent="0.2">
      <c r="A703" s="22"/>
      <c r="B703" s="16"/>
      <c r="C703" s="23"/>
      <c r="D703" s="48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8.75" customHeight="1" x14ac:dyDescent="0.2">
      <c r="A704" s="22"/>
      <c r="B704" s="16"/>
      <c r="C704" s="23"/>
      <c r="D704" s="48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8.75" customHeight="1" x14ac:dyDescent="0.2">
      <c r="A705" s="22"/>
      <c r="B705" s="16"/>
      <c r="C705" s="23"/>
      <c r="D705" s="48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8.75" customHeight="1" x14ac:dyDescent="0.2">
      <c r="A706" s="22"/>
      <c r="B706" s="16"/>
      <c r="C706" s="23"/>
      <c r="D706" s="48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8.75" customHeight="1" x14ac:dyDescent="0.2">
      <c r="A707" s="22"/>
      <c r="B707" s="16"/>
      <c r="C707" s="23"/>
      <c r="D707" s="48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8.75" customHeight="1" x14ac:dyDescent="0.2">
      <c r="A708" s="22"/>
      <c r="B708" s="16"/>
      <c r="C708" s="23"/>
      <c r="D708" s="48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8.75" customHeight="1" x14ac:dyDescent="0.2">
      <c r="A709" s="22"/>
      <c r="B709" s="16"/>
      <c r="C709" s="23"/>
      <c r="D709" s="48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8.75" customHeight="1" x14ac:dyDescent="0.2">
      <c r="A710" s="22"/>
      <c r="B710" s="16"/>
      <c r="C710" s="23"/>
      <c r="D710" s="48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8.75" customHeight="1" x14ac:dyDescent="0.2">
      <c r="A711" s="22"/>
      <c r="B711" s="16"/>
      <c r="C711" s="23"/>
      <c r="D711" s="48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8.75" customHeight="1" x14ac:dyDescent="0.2">
      <c r="A712" s="22"/>
      <c r="B712" s="16"/>
      <c r="C712" s="23"/>
      <c r="D712" s="48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8.75" customHeight="1" x14ac:dyDescent="0.2">
      <c r="A713" s="22"/>
      <c r="B713" s="16"/>
      <c r="C713" s="23"/>
      <c r="D713" s="48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8.75" customHeight="1" x14ac:dyDescent="0.2">
      <c r="A714" s="22"/>
      <c r="B714" s="16"/>
      <c r="C714" s="23"/>
      <c r="D714" s="48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8.75" customHeight="1" x14ac:dyDescent="0.2">
      <c r="A715" s="22"/>
      <c r="B715" s="16"/>
      <c r="C715" s="23"/>
      <c r="D715" s="48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8.75" customHeight="1" x14ac:dyDescent="0.2">
      <c r="A716" s="22"/>
      <c r="B716" s="16"/>
      <c r="C716" s="23"/>
      <c r="D716" s="48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8.75" customHeight="1" x14ac:dyDescent="0.2">
      <c r="A717" s="22"/>
      <c r="B717" s="16"/>
      <c r="C717" s="23"/>
      <c r="D717" s="48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8.75" customHeight="1" x14ac:dyDescent="0.2">
      <c r="A718" s="22"/>
      <c r="B718" s="16"/>
      <c r="C718" s="23"/>
      <c r="D718" s="48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8.75" customHeight="1" x14ac:dyDescent="0.2">
      <c r="A719" s="22"/>
      <c r="B719" s="16"/>
      <c r="C719" s="23"/>
      <c r="D719" s="48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8.75" customHeight="1" x14ac:dyDescent="0.2">
      <c r="A720" s="22"/>
      <c r="B720" s="16"/>
      <c r="C720" s="23"/>
      <c r="D720" s="48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8.75" customHeight="1" x14ac:dyDescent="0.2">
      <c r="A721" s="22"/>
      <c r="B721" s="16"/>
      <c r="C721" s="23"/>
      <c r="D721" s="48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8.75" customHeight="1" x14ac:dyDescent="0.2">
      <c r="A722" s="22"/>
      <c r="B722" s="16"/>
      <c r="C722" s="23"/>
      <c r="D722" s="48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8.75" customHeight="1" x14ac:dyDescent="0.2">
      <c r="A723" s="22"/>
      <c r="B723" s="16"/>
      <c r="C723" s="23"/>
      <c r="D723" s="48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8.75" customHeight="1" x14ac:dyDescent="0.2">
      <c r="A724" s="22"/>
      <c r="B724" s="16"/>
      <c r="C724" s="23"/>
      <c r="D724" s="48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8.75" customHeight="1" x14ac:dyDescent="0.2">
      <c r="A725" s="22"/>
      <c r="B725" s="16"/>
      <c r="C725" s="23"/>
      <c r="D725" s="48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8.75" customHeight="1" x14ac:dyDescent="0.2">
      <c r="A726" s="22"/>
      <c r="B726" s="16"/>
      <c r="C726" s="23"/>
      <c r="D726" s="48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8.75" customHeight="1" x14ac:dyDescent="0.2">
      <c r="A727" s="22"/>
      <c r="B727" s="16"/>
      <c r="C727" s="23"/>
      <c r="D727" s="48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8.75" customHeight="1" x14ac:dyDescent="0.2">
      <c r="A728" s="22"/>
      <c r="B728" s="16"/>
      <c r="C728" s="23"/>
      <c r="D728" s="48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8.75" customHeight="1" x14ac:dyDescent="0.2">
      <c r="A729" s="22"/>
      <c r="B729" s="16"/>
      <c r="C729" s="23"/>
      <c r="D729" s="48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8.75" customHeight="1" x14ac:dyDescent="0.2">
      <c r="A730" s="22"/>
      <c r="B730" s="16"/>
      <c r="C730" s="23"/>
      <c r="D730" s="48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8.75" customHeight="1" x14ac:dyDescent="0.2">
      <c r="A731" s="22"/>
      <c r="B731" s="16"/>
      <c r="C731" s="23"/>
      <c r="D731" s="48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8.75" customHeight="1" x14ac:dyDescent="0.2">
      <c r="A732" s="22"/>
      <c r="B732" s="16"/>
      <c r="C732" s="23"/>
      <c r="D732" s="48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8.75" customHeight="1" x14ac:dyDescent="0.2">
      <c r="A733" s="22"/>
      <c r="B733" s="16"/>
      <c r="C733" s="23"/>
      <c r="D733" s="48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8.75" customHeight="1" x14ac:dyDescent="0.2">
      <c r="A734" s="22"/>
      <c r="B734" s="16"/>
      <c r="C734" s="23"/>
      <c r="D734" s="48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8.75" customHeight="1" x14ac:dyDescent="0.2">
      <c r="A735" s="22"/>
      <c r="B735" s="16"/>
      <c r="C735" s="23"/>
      <c r="D735" s="48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8.75" customHeight="1" x14ac:dyDescent="0.2">
      <c r="A736" s="22"/>
      <c r="B736" s="16"/>
      <c r="C736" s="23"/>
      <c r="D736" s="48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8.75" customHeight="1" x14ac:dyDescent="0.2">
      <c r="A737" s="22"/>
      <c r="B737" s="16"/>
      <c r="C737" s="23"/>
      <c r="D737" s="48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8.75" customHeight="1" x14ac:dyDescent="0.2">
      <c r="A738" s="22"/>
      <c r="B738" s="16"/>
      <c r="C738" s="23"/>
      <c r="D738" s="48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8.75" customHeight="1" x14ac:dyDescent="0.2">
      <c r="A739" s="22"/>
      <c r="B739" s="16"/>
      <c r="C739" s="23"/>
      <c r="D739" s="48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8.75" customHeight="1" x14ac:dyDescent="0.2">
      <c r="A740" s="22"/>
      <c r="B740" s="16"/>
      <c r="C740" s="23"/>
      <c r="D740" s="48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8.75" customHeight="1" x14ac:dyDescent="0.2">
      <c r="A741" s="22"/>
      <c r="B741" s="16"/>
      <c r="C741" s="23"/>
      <c r="D741" s="48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8.75" customHeight="1" x14ac:dyDescent="0.2">
      <c r="A742" s="22"/>
      <c r="B742" s="16"/>
      <c r="C742" s="23"/>
      <c r="D742" s="48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8.75" customHeight="1" x14ac:dyDescent="0.2">
      <c r="A743" s="22"/>
      <c r="B743" s="16"/>
      <c r="C743" s="23"/>
      <c r="D743" s="48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8.75" customHeight="1" x14ac:dyDescent="0.2">
      <c r="A744" s="22"/>
      <c r="B744" s="16"/>
      <c r="C744" s="23"/>
      <c r="D744" s="48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8.75" customHeight="1" x14ac:dyDescent="0.2">
      <c r="A745" s="22"/>
      <c r="B745" s="16"/>
      <c r="C745" s="23"/>
      <c r="D745" s="48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8.75" customHeight="1" x14ac:dyDescent="0.2">
      <c r="A746" s="22"/>
      <c r="B746" s="16"/>
      <c r="C746" s="23"/>
      <c r="D746" s="48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8.75" customHeight="1" x14ac:dyDescent="0.2">
      <c r="A747" s="22"/>
      <c r="B747" s="16"/>
      <c r="C747" s="23"/>
      <c r="D747" s="48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8.75" customHeight="1" x14ac:dyDescent="0.2">
      <c r="A748" s="22"/>
      <c r="B748" s="16"/>
      <c r="C748" s="23"/>
      <c r="D748" s="48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8.75" customHeight="1" x14ac:dyDescent="0.2">
      <c r="A749" s="22"/>
      <c r="B749" s="16"/>
      <c r="C749" s="23"/>
      <c r="D749" s="48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8.75" customHeight="1" x14ac:dyDescent="0.2">
      <c r="A750" s="22"/>
      <c r="B750" s="16"/>
      <c r="C750" s="23"/>
      <c r="D750" s="48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8.75" customHeight="1" x14ac:dyDescent="0.2">
      <c r="A751" s="22"/>
      <c r="B751" s="16"/>
      <c r="C751" s="23"/>
      <c r="D751" s="48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8.75" customHeight="1" x14ac:dyDescent="0.2">
      <c r="A752" s="22"/>
      <c r="B752" s="16"/>
      <c r="C752" s="23"/>
      <c r="D752" s="48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8.75" customHeight="1" x14ac:dyDescent="0.2">
      <c r="A753" s="22"/>
      <c r="B753" s="16"/>
      <c r="C753" s="23"/>
      <c r="D753" s="48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8.75" customHeight="1" x14ac:dyDescent="0.2">
      <c r="A754" s="22"/>
      <c r="B754" s="16"/>
      <c r="C754" s="23"/>
      <c r="D754" s="48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8.75" customHeight="1" x14ac:dyDescent="0.2">
      <c r="A755" s="22"/>
      <c r="B755" s="16"/>
      <c r="C755" s="23"/>
      <c r="D755" s="48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8.75" customHeight="1" x14ac:dyDescent="0.2">
      <c r="A756" s="22"/>
      <c r="B756" s="16"/>
      <c r="C756" s="23"/>
      <c r="D756" s="48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8.75" customHeight="1" x14ac:dyDescent="0.2">
      <c r="A757" s="22"/>
      <c r="B757" s="16"/>
      <c r="C757" s="23"/>
      <c r="D757" s="48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8.75" customHeight="1" x14ac:dyDescent="0.2">
      <c r="A758" s="22"/>
      <c r="B758" s="16"/>
      <c r="C758" s="23"/>
      <c r="D758" s="48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8.75" customHeight="1" x14ac:dyDescent="0.2">
      <c r="A759" s="22"/>
      <c r="B759" s="16"/>
      <c r="C759" s="23"/>
      <c r="D759" s="48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8.75" customHeight="1" x14ac:dyDescent="0.2">
      <c r="A760" s="22"/>
      <c r="B760" s="16"/>
      <c r="C760" s="23"/>
      <c r="D760" s="48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8.75" customHeight="1" x14ac:dyDescent="0.2">
      <c r="A761" s="22"/>
      <c r="B761" s="16"/>
      <c r="C761" s="23"/>
      <c r="D761" s="48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8.75" customHeight="1" x14ac:dyDescent="0.2">
      <c r="A762" s="22"/>
      <c r="B762" s="16"/>
      <c r="C762" s="23"/>
      <c r="D762" s="48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8.75" customHeight="1" x14ac:dyDescent="0.2">
      <c r="A763" s="22"/>
      <c r="B763" s="16"/>
      <c r="C763" s="23"/>
      <c r="D763" s="48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8.75" customHeight="1" x14ac:dyDescent="0.2">
      <c r="A764" s="22"/>
      <c r="B764" s="16"/>
      <c r="C764" s="23"/>
      <c r="D764" s="48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8.75" customHeight="1" x14ac:dyDescent="0.2">
      <c r="A765" s="22"/>
      <c r="B765" s="16"/>
      <c r="C765" s="23"/>
      <c r="D765" s="48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8.75" customHeight="1" x14ac:dyDescent="0.2">
      <c r="A766" s="22"/>
      <c r="B766" s="16"/>
      <c r="C766" s="23"/>
      <c r="D766" s="48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8.75" customHeight="1" x14ac:dyDescent="0.2">
      <c r="A767" s="22"/>
      <c r="B767" s="16"/>
      <c r="C767" s="23"/>
      <c r="D767" s="48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8.75" customHeight="1" x14ac:dyDescent="0.2">
      <c r="A768" s="22"/>
      <c r="B768" s="16"/>
      <c r="C768" s="23"/>
      <c r="D768" s="48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8.75" customHeight="1" x14ac:dyDescent="0.2">
      <c r="A769" s="22"/>
      <c r="B769" s="16"/>
      <c r="C769" s="23"/>
      <c r="D769" s="48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8.75" customHeight="1" x14ac:dyDescent="0.2">
      <c r="A770" s="22"/>
      <c r="B770" s="16"/>
      <c r="C770" s="23"/>
      <c r="D770" s="48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8.75" customHeight="1" x14ac:dyDescent="0.2">
      <c r="A771" s="22"/>
      <c r="B771" s="16"/>
      <c r="C771" s="23"/>
      <c r="D771" s="48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8.75" customHeight="1" x14ac:dyDescent="0.2">
      <c r="A772" s="22"/>
      <c r="B772" s="16"/>
      <c r="C772" s="23"/>
      <c r="D772" s="48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8.75" customHeight="1" x14ac:dyDescent="0.2">
      <c r="A773" s="22"/>
      <c r="B773" s="16"/>
      <c r="C773" s="23"/>
      <c r="D773" s="48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8.75" customHeight="1" x14ac:dyDescent="0.2">
      <c r="A774" s="22"/>
      <c r="B774" s="16"/>
      <c r="C774" s="23"/>
      <c r="D774" s="48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8.75" customHeight="1" x14ac:dyDescent="0.2">
      <c r="A775" s="22"/>
      <c r="B775" s="16"/>
      <c r="C775" s="23"/>
      <c r="D775" s="48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8.75" customHeight="1" x14ac:dyDescent="0.2">
      <c r="A776" s="22"/>
      <c r="B776" s="16"/>
      <c r="C776" s="23"/>
      <c r="D776" s="48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8.75" customHeight="1" x14ac:dyDescent="0.2">
      <c r="A777" s="22"/>
      <c r="B777" s="16"/>
      <c r="C777" s="23"/>
      <c r="D777" s="48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8.75" customHeight="1" x14ac:dyDescent="0.2">
      <c r="A778" s="22"/>
      <c r="B778" s="16"/>
      <c r="C778" s="23"/>
      <c r="D778" s="48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8.75" customHeight="1" x14ac:dyDescent="0.2">
      <c r="A779" s="22"/>
      <c r="B779" s="16"/>
      <c r="C779" s="23"/>
      <c r="D779" s="48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8.75" customHeight="1" x14ac:dyDescent="0.2">
      <c r="A780" s="22"/>
      <c r="B780" s="16"/>
      <c r="C780" s="23"/>
      <c r="D780" s="48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8.75" customHeight="1" x14ac:dyDescent="0.2">
      <c r="A781" s="22"/>
      <c r="B781" s="16"/>
      <c r="C781" s="23"/>
      <c r="D781" s="48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8.75" customHeight="1" x14ac:dyDescent="0.2">
      <c r="A782" s="22"/>
      <c r="B782" s="16"/>
      <c r="C782" s="23"/>
      <c r="D782" s="48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8.75" customHeight="1" x14ac:dyDescent="0.2">
      <c r="A783" s="22"/>
      <c r="B783" s="16"/>
      <c r="C783" s="23"/>
      <c r="D783" s="48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8.75" customHeight="1" x14ac:dyDescent="0.2">
      <c r="A784" s="22"/>
      <c r="B784" s="16"/>
      <c r="C784" s="23"/>
      <c r="D784" s="48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8.75" customHeight="1" x14ac:dyDescent="0.2">
      <c r="A785" s="22"/>
      <c r="B785" s="16"/>
      <c r="C785" s="23"/>
      <c r="D785" s="48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8.75" customHeight="1" x14ac:dyDescent="0.2">
      <c r="A786" s="22"/>
      <c r="B786" s="16"/>
      <c r="C786" s="23"/>
      <c r="D786" s="48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8.75" customHeight="1" x14ac:dyDescent="0.2">
      <c r="A787" s="22"/>
      <c r="B787" s="16"/>
      <c r="C787" s="23"/>
      <c r="D787" s="48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8.75" customHeight="1" x14ac:dyDescent="0.2">
      <c r="A788" s="22"/>
      <c r="B788" s="16"/>
      <c r="C788" s="23"/>
      <c r="D788" s="48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8.75" customHeight="1" x14ac:dyDescent="0.2">
      <c r="A789" s="22"/>
      <c r="B789" s="16"/>
      <c r="C789" s="23"/>
      <c r="D789" s="48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8.75" customHeight="1" x14ac:dyDescent="0.2">
      <c r="A790" s="22"/>
      <c r="B790" s="16"/>
      <c r="C790" s="23"/>
      <c r="D790" s="48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8.75" customHeight="1" x14ac:dyDescent="0.2">
      <c r="A791" s="22"/>
      <c r="B791" s="16"/>
      <c r="C791" s="23"/>
      <c r="D791" s="48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8.75" customHeight="1" x14ac:dyDescent="0.2">
      <c r="A792" s="22"/>
      <c r="B792" s="16"/>
      <c r="C792" s="23"/>
      <c r="D792" s="48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8.75" customHeight="1" x14ac:dyDescent="0.2">
      <c r="A793" s="22"/>
      <c r="B793" s="16"/>
      <c r="C793" s="23"/>
      <c r="D793" s="48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8.75" customHeight="1" x14ac:dyDescent="0.2">
      <c r="A794" s="22"/>
      <c r="B794" s="16"/>
      <c r="C794" s="23"/>
      <c r="D794" s="48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8.75" customHeight="1" x14ac:dyDescent="0.2">
      <c r="A795" s="22"/>
      <c r="B795" s="16"/>
      <c r="C795" s="23"/>
      <c r="D795" s="48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8.75" customHeight="1" x14ac:dyDescent="0.2">
      <c r="A796" s="22"/>
      <c r="B796" s="16"/>
      <c r="C796" s="23"/>
      <c r="D796" s="48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8.75" customHeight="1" x14ac:dyDescent="0.2">
      <c r="A797" s="22"/>
      <c r="B797" s="16"/>
      <c r="C797" s="23"/>
      <c r="D797" s="48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8.75" customHeight="1" x14ac:dyDescent="0.2">
      <c r="A798" s="22"/>
      <c r="B798" s="16"/>
      <c r="C798" s="23"/>
      <c r="D798" s="48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8.75" customHeight="1" x14ac:dyDescent="0.2">
      <c r="A799" s="22"/>
      <c r="B799" s="16"/>
      <c r="C799" s="23"/>
      <c r="D799" s="48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8.75" customHeight="1" x14ac:dyDescent="0.2">
      <c r="A800" s="22"/>
      <c r="B800" s="16"/>
      <c r="C800" s="23"/>
      <c r="D800" s="48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8.75" customHeight="1" x14ac:dyDescent="0.2">
      <c r="A801" s="22"/>
      <c r="B801" s="16"/>
      <c r="C801" s="23"/>
      <c r="D801" s="48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8.75" customHeight="1" x14ac:dyDescent="0.2">
      <c r="A802" s="22"/>
      <c r="B802" s="16"/>
      <c r="C802" s="23"/>
      <c r="D802" s="48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8.75" customHeight="1" x14ac:dyDescent="0.2">
      <c r="A803" s="22"/>
      <c r="B803" s="16"/>
      <c r="C803" s="23"/>
      <c r="D803" s="48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8.75" customHeight="1" x14ac:dyDescent="0.2">
      <c r="A804" s="22"/>
      <c r="B804" s="16"/>
      <c r="C804" s="23"/>
      <c r="D804" s="48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8.75" customHeight="1" x14ac:dyDescent="0.2">
      <c r="A805" s="22"/>
      <c r="B805" s="16"/>
      <c r="C805" s="23"/>
      <c r="D805" s="48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8.75" customHeight="1" x14ac:dyDescent="0.2">
      <c r="A806" s="22"/>
      <c r="B806" s="16"/>
      <c r="C806" s="23"/>
      <c r="D806" s="48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8.75" customHeight="1" x14ac:dyDescent="0.2">
      <c r="A807" s="22"/>
      <c r="B807" s="16"/>
      <c r="C807" s="23"/>
      <c r="D807" s="48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8.75" customHeight="1" x14ac:dyDescent="0.2">
      <c r="A808" s="22"/>
      <c r="B808" s="16"/>
      <c r="C808" s="23"/>
      <c r="D808" s="48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8.75" customHeight="1" x14ac:dyDescent="0.2">
      <c r="A809" s="22"/>
      <c r="B809" s="16"/>
      <c r="C809" s="23"/>
      <c r="D809" s="48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8.75" customHeight="1" x14ac:dyDescent="0.2">
      <c r="A810" s="22"/>
      <c r="B810" s="16"/>
      <c r="C810" s="23"/>
      <c r="D810" s="48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8.75" customHeight="1" x14ac:dyDescent="0.2">
      <c r="A811" s="22"/>
      <c r="B811" s="16"/>
      <c r="C811" s="23"/>
      <c r="D811" s="48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8.75" customHeight="1" x14ac:dyDescent="0.2">
      <c r="A812" s="22"/>
      <c r="B812" s="16"/>
      <c r="C812" s="23"/>
      <c r="D812" s="48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8.75" customHeight="1" x14ac:dyDescent="0.2">
      <c r="A813" s="22"/>
      <c r="B813" s="16"/>
      <c r="C813" s="23"/>
      <c r="D813" s="48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8.75" customHeight="1" x14ac:dyDescent="0.2">
      <c r="A814" s="22"/>
      <c r="B814" s="16"/>
      <c r="C814" s="23"/>
      <c r="D814" s="48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8.75" customHeight="1" x14ac:dyDescent="0.2">
      <c r="A815" s="22"/>
      <c r="B815" s="16"/>
      <c r="C815" s="23"/>
      <c r="D815" s="48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8.75" customHeight="1" x14ac:dyDescent="0.2">
      <c r="A816" s="22"/>
      <c r="B816" s="16"/>
      <c r="C816" s="23"/>
      <c r="D816" s="48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8.75" customHeight="1" x14ac:dyDescent="0.2">
      <c r="A817" s="22"/>
      <c r="B817" s="16"/>
      <c r="C817" s="23"/>
      <c r="D817" s="48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8.75" customHeight="1" x14ac:dyDescent="0.2">
      <c r="A818" s="22"/>
      <c r="B818" s="16"/>
      <c r="C818" s="23"/>
      <c r="D818" s="48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8.75" customHeight="1" x14ac:dyDescent="0.2">
      <c r="A819" s="22"/>
      <c r="B819" s="16"/>
      <c r="C819" s="23"/>
      <c r="D819" s="48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8.75" customHeight="1" x14ac:dyDescent="0.2">
      <c r="A820" s="22"/>
      <c r="B820" s="16"/>
      <c r="C820" s="23"/>
      <c r="D820" s="48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8.75" customHeight="1" x14ac:dyDescent="0.2">
      <c r="A821" s="22"/>
      <c r="B821" s="16"/>
      <c r="C821" s="23"/>
      <c r="D821" s="48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8.75" customHeight="1" x14ac:dyDescent="0.2">
      <c r="A822" s="22"/>
      <c r="B822" s="16"/>
      <c r="C822" s="23"/>
      <c r="D822" s="48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8.75" customHeight="1" x14ac:dyDescent="0.2">
      <c r="A823" s="22"/>
      <c r="B823" s="16"/>
      <c r="C823" s="23"/>
      <c r="D823" s="48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8.75" customHeight="1" x14ac:dyDescent="0.2">
      <c r="A824" s="22"/>
      <c r="B824" s="16"/>
      <c r="C824" s="23"/>
      <c r="D824" s="48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8.75" customHeight="1" x14ac:dyDescent="0.2">
      <c r="A825" s="22"/>
      <c r="B825" s="16"/>
      <c r="C825" s="23"/>
      <c r="D825" s="48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8.75" customHeight="1" x14ac:dyDescent="0.2">
      <c r="A826" s="22"/>
      <c r="B826" s="16"/>
      <c r="C826" s="23"/>
      <c r="D826" s="48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8.75" customHeight="1" x14ac:dyDescent="0.2">
      <c r="A827" s="22"/>
      <c r="B827" s="16"/>
      <c r="C827" s="23"/>
      <c r="D827" s="48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8.75" customHeight="1" x14ac:dyDescent="0.2">
      <c r="A828" s="22"/>
      <c r="B828" s="16"/>
      <c r="C828" s="23"/>
      <c r="D828" s="48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8.75" customHeight="1" x14ac:dyDescent="0.2">
      <c r="A829" s="22"/>
      <c r="B829" s="16"/>
      <c r="C829" s="23"/>
      <c r="D829" s="48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8.75" customHeight="1" x14ac:dyDescent="0.2">
      <c r="A830" s="22"/>
      <c r="B830" s="16"/>
      <c r="C830" s="23"/>
      <c r="D830" s="48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8.75" customHeight="1" x14ac:dyDescent="0.2">
      <c r="A831" s="22"/>
      <c r="B831" s="16"/>
      <c r="C831" s="23"/>
      <c r="D831" s="48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8.75" customHeight="1" x14ac:dyDescent="0.2">
      <c r="A832" s="22"/>
      <c r="B832" s="16"/>
      <c r="C832" s="23"/>
      <c r="D832" s="48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8.75" customHeight="1" x14ac:dyDescent="0.2">
      <c r="A833" s="22"/>
      <c r="B833" s="16"/>
      <c r="C833" s="23"/>
      <c r="D833" s="48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8.75" customHeight="1" x14ac:dyDescent="0.2">
      <c r="A834" s="22"/>
      <c r="B834" s="16"/>
      <c r="C834" s="23"/>
      <c r="D834" s="48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8.75" customHeight="1" x14ac:dyDescent="0.2">
      <c r="A835" s="22"/>
      <c r="B835" s="16"/>
      <c r="C835" s="23"/>
      <c r="D835" s="48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8.75" customHeight="1" x14ac:dyDescent="0.2">
      <c r="A836" s="22"/>
      <c r="B836" s="16"/>
      <c r="C836" s="23"/>
      <c r="D836" s="48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8.75" customHeight="1" x14ac:dyDescent="0.2">
      <c r="A837" s="22"/>
      <c r="B837" s="16"/>
      <c r="C837" s="23"/>
      <c r="D837" s="48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8.75" customHeight="1" x14ac:dyDescent="0.2">
      <c r="A838" s="22"/>
      <c r="B838" s="16"/>
      <c r="C838" s="23"/>
      <c r="D838" s="48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8.75" customHeight="1" x14ac:dyDescent="0.2">
      <c r="A839" s="22"/>
      <c r="B839" s="16"/>
      <c r="C839" s="23"/>
      <c r="D839" s="48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8.75" customHeight="1" x14ac:dyDescent="0.2">
      <c r="A840" s="22"/>
      <c r="B840" s="16"/>
      <c r="C840" s="23"/>
      <c r="D840" s="48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8.75" customHeight="1" x14ac:dyDescent="0.2">
      <c r="A841" s="22"/>
      <c r="B841" s="16"/>
      <c r="C841" s="23"/>
      <c r="D841" s="48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8.75" customHeight="1" x14ac:dyDescent="0.2">
      <c r="A842" s="22"/>
      <c r="B842" s="16"/>
      <c r="C842" s="23"/>
      <c r="D842" s="48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8.75" customHeight="1" x14ac:dyDescent="0.2">
      <c r="A843" s="22"/>
      <c r="B843" s="16"/>
      <c r="C843" s="23"/>
      <c r="D843" s="48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8.75" customHeight="1" x14ac:dyDescent="0.2">
      <c r="A844" s="22"/>
      <c r="B844" s="16"/>
      <c r="C844" s="23"/>
      <c r="D844" s="48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8.75" customHeight="1" x14ac:dyDescent="0.2">
      <c r="A845" s="22"/>
      <c r="B845" s="16"/>
      <c r="C845" s="23"/>
      <c r="D845" s="48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8.75" customHeight="1" x14ac:dyDescent="0.2">
      <c r="A846" s="22"/>
      <c r="B846" s="16"/>
      <c r="C846" s="23"/>
      <c r="D846" s="48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8.75" customHeight="1" x14ac:dyDescent="0.2">
      <c r="A847" s="22"/>
      <c r="B847" s="16"/>
      <c r="C847" s="23"/>
      <c r="D847" s="48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8.75" customHeight="1" x14ac:dyDescent="0.2">
      <c r="A848" s="22"/>
      <c r="B848" s="16"/>
      <c r="C848" s="23"/>
      <c r="D848" s="48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8.75" customHeight="1" x14ac:dyDescent="0.2">
      <c r="A849" s="22"/>
      <c r="B849" s="16"/>
      <c r="C849" s="23"/>
      <c r="D849" s="48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8.75" customHeight="1" x14ac:dyDescent="0.2">
      <c r="A850" s="22"/>
      <c r="B850" s="16"/>
      <c r="C850" s="23"/>
      <c r="D850" s="48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8.75" customHeight="1" x14ac:dyDescent="0.2">
      <c r="A851" s="22"/>
      <c r="B851" s="16"/>
      <c r="C851" s="23"/>
      <c r="D851" s="48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8.75" customHeight="1" x14ac:dyDescent="0.2">
      <c r="A852" s="22"/>
      <c r="B852" s="16"/>
      <c r="C852" s="23"/>
      <c r="D852" s="48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8.75" customHeight="1" x14ac:dyDescent="0.2">
      <c r="A853" s="22"/>
      <c r="B853" s="16"/>
      <c r="C853" s="23"/>
      <c r="D853" s="48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8.75" customHeight="1" x14ac:dyDescent="0.2">
      <c r="A854" s="22"/>
      <c r="B854" s="16"/>
      <c r="C854" s="23"/>
      <c r="D854" s="48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8.75" customHeight="1" x14ac:dyDescent="0.2">
      <c r="A855" s="22"/>
      <c r="B855" s="16"/>
      <c r="C855" s="23"/>
      <c r="D855" s="48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8.75" customHeight="1" x14ac:dyDescent="0.2">
      <c r="A856" s="22"/>
      <c r="B856" s="16"/>
      <c r="C856" s="23"/>
      <c r="D856" s="48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8.75" customHeight="1" x14ac:dyDescent="0.2">
      <c r="A857" s="22"/>
      <c r="B857" s="16"/>
      <c r="C857" s="23"/>
      <c r="D857" s="48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8.75" customHeight="1" x14ac:dyDescent="0.2">
      <c r="A858" s="22"/>
      <c r="B858" s="16"/>
      <c r="C858" s="23"/>
      <c r="D858" s="48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8.75" customHeight="1" x14ac:dyDescent="0.2">
      <c r="A859" s="22"/>
      <c r="B859" s="16"/>
      <c r="C859" s="23"/>
      <c r="D859" s="48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8.75" customHeight="1" x14ac:dyDescent="0.2">
      <c r="A860" s="22"/>
      <c r="B860" s="16"/>
      <c r="C860" s="23"/>
      <c r="D860" s="48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8.75" customHeight="1" x14ac:dyDescent="0.2">
      <c r="A861" s="22"/>
      <c r="B861" s="16"/>
      <c r="C861" s="23"/>
      <c r="D861" s="48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8.75" customHeight="1" x14ac:dyDescent="0.2">
      <c r="A862" s="22"/>
      <c r="B862" s="16"/>
      <c r="C862" s="23"/>
      <c r="D862" s="48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8.75" customHeight="1" x14ac:dyDescent="0.2">
      <c r="A863" s="22"/>
      <c r="B863" s="16"/>
      <c r="C863" s="23"/>
      <c r="D863" s="48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8.75" customHeight="1" x14ac:dyDescent="0.2">
      <c r="A864" s="22"/>
      <c r="B864" s="16"/>
      <c r="C864" s="23"/>
      <c r="D864" s="48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8.75" customHeight="1" x14ac:dyDescent="0.2">
      <c r="A865" s="22"/>
      <c r="B865" s="16"/>
      <c r="C865" s="23"/>
      <c r="D865" s="48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8.75" customHeight="1" x14ac:dyDescent="0.2">
      <c r="A866" s="22"/>
      <c r="B866" s="16"/>
      <c r="C866" s="23"/>
      <c r="D866" s="48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8.75" customHeight="1" x14ac:dyDescent="0.2">
      <c r="A867" s="22"/>
      <c r="B867" s="16"/>
      <c r="C867" s="23"/>
      <c r="D867" s="48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8.75" customHeight="1" x14ac:dyDescent="0.2">
      <c r="A868" s="22"/>
      <c r="B868" s="16"/>
      <c r="C868" s="23"/>
      <c r="D868" s="48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8.75" customHeight="1" x14ac:dyDescent="0.2">
      <c r="A869" s="22"/>
      <c r="B869" s="16"/>
      <c r="C869" s="23"/>
      <c r="D869" s="48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8.75" customHeight="1" x14ac:dyDescent="0.2">
      <c r="A870" s="22"/>
      <c r="B870" s="16"/>
      <c r="C870" s="23"/>
      <c r="D870" s="48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8.75" customHeight="1" x14ac:dyDescent="0.2">
      <c r="A871" s="22"/>
      <c r="B871" s="16"/>
      <c r="C871" s="23"/>
      <c r="D871" s="48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8.75" customHeight="1" x14ac:dyDescent="0.2">
      <c r="A872" s="22"/>
      <c r="B872" s="16"/>
      <c r="C872" s="23"/>
      <c r="D872" s="48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8.75" customHeight="1" x14ac:dyDescent="0.2">
      <c r="A873" s="22"/>
      <c r="B873" s="16"/>
      <c r="C873" s="23"/>
      <c r="D873" s="48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8.75" customHeight="1" x14ac:dyDescent="0.2">
      <c r="A874" s="22"/>
      <c r="B874" s="16"/>
      <c r="C874" s="23"/>
      <c r="D874" s="48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8.75" customHeight="1" x14ac:dyDescent="0.2">
      <c r="A875" s="22"/>
      <c r="B875" s="16"/>
      <c r="C875" s="23"/>
      <c r="D875" s="48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8.75" customHeight="1" x14ac:dyDescent="0.2">
      <c r="A876" s="22"/>
      <c r="B876" s="16"/>
      <c r="C876" s="23"/>
      <c r="D876" s="48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8.75" customHeight="1" x14ac:dyDescent="0.2">
      <c r="A877" s="22"/>
      <c r="B877" s="16"/>
      <c r="C877" s="23"/>
      <c r="D877" s="48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8.75" customHeight="1" x14ac:dyDescent="0.2">
      <c r="A878" s="22"/>
      <c r="B878" s="16"/>
      <c r="C878" s="23"/>
      <c r="D878" s="48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8.75" customHeight="1" x14ac:dyDescent="0.2">
      <c r="A879" s="22"/>
      <c r="B879" s="16"/>
      <c r="C879" s="23"/>
      <c r="D879" s="48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8.75" customHeight="1" x14ac:dyDescent="0.2">
      <c r="A880" s="22"/>
      <c r="B880" s="16"/>
      <c r="C880" s="23"/>
      <c r="D880" s="48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8.75" customHeight="1" x14ac:dyDescent="0.2">
      <c r="A881" s="22"/>
      <c r="B881" s="16"/>
      <c r="C881" s="23"/>
      <c r="D881" s="48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8.75" customHeight="1" x14ac:dyDescent="0.2">
      <c r="A882" s="22"/>
      <c r="B882" s="16"/>
      <c r="C882" s="23"/>
      <c r="D882" s="48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8.75" customHeight="1" x14ac:dyDescent="0.2">
      <c r="A883" s="22"/>
      <c r="B883" s="16"/>
      <c r="C883" s="23"/>
      <c r="D883" s="48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8.75" customHeight="1" x14ac:dyDescent="0.2">
      <c r="A884" s="22"/>
      <c r="B884" s="16"/>
      <c r="C884" s="23"/>
      <c r="D884" s="48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8.75" customHeight="1" x14ac:dyDescent="0.2">
      <c r="A885" s="22"/>
      <c r="B885" s="16"/>
      <c r="C885" s="23"/>
      <c r="D885" s="48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8.75" customHeight="1" x14ac:dyDescent="0.2">
      <c r="A886" s="22"/>
      <c r="B886" s="16"/>
      <c r="C886" s="23"/>
      <c r="D886" s="48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8.75" customHeight="1" x14ac:dyDescent="0.2">
      <c r="A887" s="22"/>
      <c r="B887" s="16"/>
      <c r="C887" s="23"/>
      <c r="D887" s="48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8.75" customHeight="1" x14ac:dyDescent="0.2">
      <c r="A888" s="22"/>
      <c r="B888" s="16"/>
      <c r="C888" s="23"/>
      <c r="D888" s="48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8.75" customHeight="1" x14ac:dyDescent="0.2">
      <c r="A889" s="22"/>
      <c r="B889" s="16"/>
      <c r="C889" s="23"/>
      <c r="D889" s="48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8.75" customHeight="1" x14ac:dyDescent="0.2">
      <c r="A890" s="22"/>
      <c r="B890" s="16"/>
      <c r="C890" s="23"/>
      <c r="D890" s="48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8.75" customHeight="1" x14ac:dyDescent="0.2">
      <c r="A891" s="22"/>
      <c r="B891" s="16"/>
      <c r="C891" s="23"/>
      <c r="D891" s="48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8.75" customHeight="1" x14ac:dyDescent="0.2">
      <c r="A892" s="22"/>
      <c r="B892" s="16"/>
      <c r="C892" s="23"/>
      <c r="D892" s="48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8.75" customHeight="1" x14ac:dyDescent="0.2">
      <c r="A893" s="22"/>
      <c r="B893" s="16"/>
      <c r="C893" s="23"/>
      <c r="D893" s="48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8.75" customHeight="1" x14ac:dyDescent="0.2">
      <c r="A894" s="22"/>
      <c r="B894" s="16"/>
      <c r="C894" s="23"/>
      <c r="D894" s="48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8.75" customHeight="1" x14ac:dyDescent="0.2">
      <c r="A895" s="22"/>
      <c r="B895" s="16"/>
      <c r="C895" s="23"/>
      <c r="D895" s="48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8.75" customHeight="1" x14ac:dyDescent="0.2">
      <c r="A896" s="22"/>
      <c r="B896" s="16"/>
      <c r="C896" s="23"/>
      <c r="D896" s="48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8.75" customHeight="1" x14ac:dyDescent="0.2">
      <c r="A897" s="22"/>
      <c r="B897" s="16"/>
      <c r="C897" s="23"/>
      <c r="D897" s="48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8.75" customHeight="1" x14ac:dyDescent="0.2">
      <c r="A898" s="22"/>
      <c r="B898" s="16"/>
      <c r="C898" s="23"/>
      <c r="D898" s="48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8.75" customHeight="1" x14ac:dyDescent="0.2">
      <c r="A899" s="22"/>
      <c r="B899" s="16"/>
      <c r="C899" s="23"/>
      <c r="D899" s="48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8.75" customHeight="1" x14ac:dyDescent="0.2">
      <c r="A900" s="22"/>
      <c r="B900" s="16"/>
      <c r="C900" s="23"/>
      <c r="D900" s="48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8.75" customHeight="1" x14ac:dyDescent="0.2">
      <c r="A901" s="22"/>
      <c r="B901" s="16"/>
      <c r="C901" s="23"/>
      <c r="D901" s="48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8.75" customHeight="1" x14ac:dyDescent="0.2">
      <c r="A902" s="22"/>
      <c r="B902" s="16"/>
      <c r="C902" s="23"/>
      <c r="D902" s="48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8.75" customHeight="1" x14ac:dyDescent="0.2">
      <c r="A903" s="22"/>
      <c r="B903" s="16"/>
      <c r="C903" s="23"/>
      <c r="D903" s="48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8.75" customHeight="1" x14ac:dyDescent="0.2">
      <c r="A904" s="22"/>
      <c r="B904" s="16"/>
      <c r="C904" s="23"/>
      <c r="D904" s="48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8.75" customHeight="1" x14ac:dyDescent="0.2">
      <c r="A905" s="22"/>
      <c r="B905" s="16"/>
      <c r="C905" s="23"/>
      <c r="D905" s="48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8.75" customHeight="1" x14ac:dyDescent="0.2">
      <c r="A906" s="22"/>
      <c r="B906" s="16"/>
      <c r="C906" s="23"/>
      <c r="D906" s="48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8.75" customHeight="1" x14ac:dyDescent="0.2">
      <c r="A907" s="22"/>
      <c r="B907" s="16"/>
      <c r="C907" s="23"/>
      <c r="D907" s="48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8.75" customHeight="1" x14ac:dyDescent="0.2">
      <c r="A908" s="22"/>
      <c r="B908" s="16"/>
      <c r="C908" s="23"/>
      <c r="D908" s="48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8.75" customHeight="1" x14ac:dyDescent="0.2">
      <c r="A909" s="22"/>
      <c r="B909" s="16"/>
      <c r="C909" s="23"/>
      <c r="D909" s="48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8.75" customHeight="1" x14ac:dyDescent="0.2">
      <c r="A910" s="22"/>
      <c r="B910" s="16"/>
      <c r="C910" s="23"/>
      <c r="D910" s="48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8.75" customHeight="1" x14ac:dyDescent="0.2">
      <c r="A911" s="22"/>
      <c r="B911" s="16"/>
      <c r="C911" s="23"/>
      <c r="D911" s="48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8.75" customHeight="1" x14ac:dyDescent="0.2">
      <c r="A912" s="22"/>
      <c r="B912" s="16"/>
      <c r="C912" s="23"/>
      <c r="D912" s="48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8.75" customHeight="1" x14ac:dyDescent="0.2">
      <c r="A913" s="22"/>
      <c r="B913" s="16"/>
      <c r="C913" s="23"/>
      <c r="D913" s="48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8.75" customHeight="1" x14ac:dyDescent="0.2">
      <c r="A914" s="22"/>
      <c r="B914" s="16"/>
      <c r="C914" s="23"/>
      <c r="D914" s="48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8.75" customHeight="1" x14ac:dyDescent="0.2">
      <c r="A915" s="22"/>
      <c r="B915" s="16"/>
      <c r="C915" s="23"/>
      <c r="D915" s="48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8.75" customHeight="1" x14ac:dyDescent="0.2">
      <c r="A916" s="22"/>
      <c r="B916" s="16"/>
      <c r="C916" s="23"/>
      <c r="D916" s="48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8.75" customHeight="1" x14ac:dyDescent="0.2">
      <c r="A917" s="22"/>
      <c r="B917" s="16"/>
      <c r="C917" s="23"/>
      <c r="D917" s="48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8.75" customHeight="1" x14ac:dyDescent="0.2">
      <c r="A918" s="22"/>
      <c r="B918" s="16"/>
      <c r="C918" s="23"/>
      <c r="D918" s="48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8.75" customHeight="1" x14ac:dyDescent="0.2">
      <c r="A919" s="22"/>
      <c r="B919" s="16"/>
      <c r="C919" s="23"/>
      <c r="D919" s="48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8.75" customHeight="1" x14ac:dyDescent="0.2">
      <c r="A920" s="22"/>
      <c r="B920" s="16"/>
      <c r="C920" s="23"/>
      <c r="D920" s="48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8.75" customHeight="1" x14ac:dyDescent="0.2">
      <c r="A921" s="22"/>
      <c r="B921" s="16"/>
      <c r="C921" s="23"/>
      <c r="D921" s="48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8.75" customHeight="1" x14ac:dyDescent="0.2">
      <c r="A922" s="22"/>
      <c r="B922" s="16"/>
      <c r="C922" s="23"/>
      <c r="D922" s="48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8.75" customHeight="1" x14ac:dyDescent="0.2">
      <c r="A923" s="22"/>
      <c r="B923" s="16"/>
      <c r="C923" s="23"/>
      <c r="D923" s="48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8.75" customHeight="1" x14ac:dyDescent="0.2">
      <c r="A924" s="22"/>
      <c r="B924" s="16"/>
      <c r="C924" s="23"/>
      <c r="D924" s="48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8.75" customHeight="1" x14ac:dyDescent="0.2">
      <c r="A925" s="22"/>
      <c r="B925" s="16"/>
      <c r="C925" s="23"/>
      <c r="D925" s="48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8.75" customHeight="1" x14ac:dyDescent="0.2">
      <c r="A926" s="22"/>
      <c r="B926" s="16"/>
      <c r="C926" s="23"/>
      <c r="D926" s="48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8.75" customHeight="1" x14ac:dyDescent="0.2">
      <c r="A927" s="22"/>
      <c r="B927" s="16"/>
      <c r="C927" s="23"/>
      <c r="D927" s="48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8.75" customHeight="1" x14ac:dyDescent="0.2">
      <c r="A928" s="22"/>
      <c r="B928" s="16"/>
      <c r="C928" s="23"/>
      <c r="D928" s="48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8.75" customHeight="1" x14ac:dyDescent="0.2">
      <c r="A929" s="22"/>
      <c r="B929" s="16"/>
      <c r="C929" s="23"/>
      <c r="D929" s="48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8.75" customHeight="1" x14ac:dyDescent="0.2">
      <c r="A930" s="22"/>
      <c r="B930" s="16"/>
      <c r="C930" s="23"/>
      <c r="D930" s="48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8.75" customHeight="1" x14ac:dyDescent="0.2">
      <c r="A931" s="22"/>
      <c r="B931" s="16"/>
      <c r="C931" s="23"/>
      <c r="D931" s="48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8.75" customHeight="1" x14ac:dyDescent="0.2">
      <c r="A932" s="22"/>
      <c r="B932" s="16"/>
      <c r="C932" s="23"/>
      <c r="D932" s="48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8.75" customHeight="1" x14ac:dyDescent="0.2">
      <c r="A933" s="22"/>
      <c r="B933" s="16"/>
      <c r="C933" s="23"/>
      <c r="D933" s="48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8.75" customHeight="1" x14ac:dyDescent="0.2">
      <c r="A934" s="22"/>
      <c r="B934" s="16"/>
      <c r="C934" s="23"/>
      <c r="D934" s="48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8.75" customHeight="1" x14ac:dyDescent="0.2">
      <c r="A935" s="22"/>
      <c r="B935" s="16"/>
      <c r="C935" s="23"/>
      <c r="D935" s="48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8.75" customHeight="1" x14ac:dyDescent="0.2">
      <c r="A936" s="22"/>
      <c r="B936" s="16"/>
      <c r="C936" s="23"/>
      <c r="D936" s="48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8.75" customHeight="1" x14ac:dyDescent="0.2">
      <c r="A937" s="22"/>
      <c r="B937" s="16"/>
      <c r="C937" s="23"/>
      <c r="D937" s="48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8.75" customHeight="1" x14ac:dyDescent="0.2">
      <c r="A938" s="22"/>
      <c r="B938" s="16"/>
      <c r="C938" s="23"/>
      <c r="D938" s="48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8.75" customHeight="1" x14ac:dyDescent="0.2">
      <c r="A939" s="22"/>
      <c r="B939" s="16"/>
      <c r="C939" s="23"/>
      <c r="D939" s="48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8.75" customHeight="1" x14ac:dyDescent="0.2">
      <c r="A940" s="22"/>
      <c r="B940" s="16"/>
      <c r="C940" s="23"/>
      <c r="D940" s="48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8.75" customHeight="1" x14ac:dyDescent="0.2">
      <c r="A941" s="22"/>
      <c r="B941" s="16"/>
      <c r="C941" s="23"/>
      <c r="D941" s="48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8.75" customHeight="1" x14ac:dyDescent="0.2">
      <c r="A942" s="22"/>
      <c r="B942" s="16"/>
      <c r="C942" s="23"/>
      <c r="D942" s="48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8.75" customHeight="1" x14ac:dyDescent="0.2">
      <c r="A943" s="22"/>
      <c r="B943" s="16"/>
      <c r="C943" s="23"/>
      <c r="D943" s="48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8.75" customHeight="1" x14ac:dyDescent="0.2">
      <c r="A944" s="22"/>
      <c r="B944" s="16"/>
      <c r="C944" s="23"/>
      <c r="D944" s="48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8.75" customHeight="1" x14ac:dyDescent="0.2">
      <c r="A945" s="22"/>
      <c r="B945" s="16"/>
      <c r="C945" s="23"/>
      <c r="D945" s="48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8.75" customHeight="1" x14ac:dyDescent="0.2">
      <c r="A946" s="22"/>
      <c r="B946" s="16"/>
      <c r="C946" s="23"/>
      <c r="D946" s="48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8.75" customHeight="1" x14ac:dyDescent="0.2">
      <c r="A947" s="22"/>
      <c r="B947" s="16"/>
      <c r="C947" s="23"/>
      <c r="D947" s="48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8.75" customHeight="1" x14ac:dyDescent="0.2">
      <c r="A948" s="22"/>
      <c r="B948" s="16"/>
      <c r="C948" s="23"/>
      <c r="D948" s="48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8.75" customHeight="1" x14ac:dyDescent="0.2">
      <c r="A949" s="22"/>
      <c r="B949" s="16"/>
      <c r="C949" s="23"/>
      <c r="D949" s="48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8.75" customHeight="1" x14ac:dyDescent="0.2">
      <c r="A950" s="22"/>
      <c r="B950" s="16"/>
      <c r="C950" s="23"/>
      <c r="D950" s="48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8.75" customHeight="1" x14ac:dyDescent="0.2">
      <c r="A951" s="22"/>
      <c r="B951" s="16"/>
      <c r="C951" s="23"/>
      <c r="D951" s="48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8.75" customHeight="1" x14ac:dyDescent="0.2">
      <c r="A952" s="22"/>
      <c r="B952" s="16"/>
      <c r="C952" s="23"/>
      <c r="D952" s="48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8.75" customHeight="1" x14ac:dyDescent="0.2">
      <c r="A953" s="22"/>
      <c r="B953" s="16"/>
      <c r="C953" s="23"/>
      <c r="D953" s="48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8.75" customHeight="1" x14ac:dyDescent="0.2">
      <c r="A954" s="22"/>
      <c r="B954" s="16"/>
      <c r="C954" s="23"/>
      <c r="D954" s="48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8.75" customHeight="1" x14ac:dyDescent="0.2">
      <c r="A955" s="22"/>
      <c r="B955" s="16"/>
      <c r="C955" s="23"/>
      <c r="D955" s="48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8.75" customHeight="1" x14ac:dyDescent="0.2">
      <c r="A956" s="22"/>
      <c r="B956" s="16"/>
      <c r="C956" s="23"/>
      <c r="D956" s="48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8.75" customHeight="1" x14ac:dyDescent="0.2">
      <c r="A957" s="22"/>
      <c r="B957" s="16"/>
      <c r="C957" s="23"/>
      <c r="D957" s="48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8.75" customHeight="1" x14ac:dyDescent="0.2">
      <c r="A958" s="22"/>
      <c r="B958" s="16"/>
      <c r="C958" s="23"/>
      <c r="D958" s="48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8.75" customHeight="1" x14ac:dyDescent="0.2">
      <c r="A959" s="22"/>
      <c r="B959" s="16"/>
      <c r="C959" s="23"/>
      <c r="D959" s="48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8.75" customHeight="1" x14ac:dyDescent="0.2">
      <c r="A960" s="22"/>
      <c r="B960" s="16"/>
      <c r="C960" s="23"/>
      <c r="D960" s="48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8.75" customHeight="1" x14ac:dyDescent="0.2">
      <c r="A961" s="22"/>
      <c r="B961" s="16"/>
      <c r="C961" s="23"/>
      <c r="D961" s="48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8.75" customHeight="1" x14ac:dyDescent="0.2">
      <c r="A962" s="22"/>
      <c r="B962" s="16"/>
      <c r="C962" s="23"/>
      <c r="D962" s="48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8.75" customHeight="1" x14ac:dyDescent="0.2">
      <c r="A963" s="22"/>
      <c r="B963" s="16"/>
      <c r="C963" s="23"/>
      <c r="D963" s="48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8.75" customHeight="1" x14ac:dyDescent="0.2">
      <c r="A964" s="22"/>
      <c r="B964" s="16"/>
      <c r="C964" s="23"/>
      <c r="D964" s="48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8.75" customHeight="1" x14ac:dyDescent="0.2">
      <c r="A965" s="22"/>
      <c r="B965" s="16"/>
      <c r="C965" s="23"/>
      <c r="D965" s="48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8.75" customHeight="1" x14ac:dyDescent="0.2">
      <c r="A966" s="22"/>
      <c r="B966" s="16"/>
      <c r="C966" s="23"/>
      <c r="D966" s="48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8.75" customHeight="1" x14ac:dyDescent="0.2">
      <c r="A967" s="22"/>
      <c r="B967" s="16"/>
      <c r="C967" s="23"/>
      <c r="D967" s="48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8.75" customHeight="1" x14ac:dyDescent="0.2">
      <c r="A968" s="22"/>
      <c r="B968" s="16"/>
      <c r="C968" s="23"/>
      <c r="D968" s="48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8.75" customHeight="1" x14ac:dyDescent="0.2">
      <c r="A969" s="22"/>
      <c r="B969" s="16"/>
      <c r="C969" s="23"/>
      <c r="D969" s="48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8.75" customHeight="1" x14ac:dyDescent="0.2">
      <c r="A970" s="22"/>
      <c r="B970" s="16"/>
      <c r="C970" s="23"/>
      <c r="D970" s="48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8.75" customHeight="1" x14ac:dyDescent="0.2">
      <c r="A971" s="22"/>
      <c r="B971" s="16"/>
      <c r="C971" s="23"/>
      <c r="D971" s="48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8.75" customHeight="1" x14ac:dyDescent="0.2">
      <c r="A972" s="22"/>
      <c r="B972" s="16"/>
      <c r="C972" s="23"/>
      <c r="D972" s="48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8.75" customHeight="1" x14ac:dyDescent="0.2">
      <c r="A973" s="22"/>
      <c r="B973" s="16"/>
      <c r="C973" s="23"/>
      <c r="D973" s="48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8.75" customHeight="1" x14ac:dyDescent="0.2">
      <c r="A974" s="22"/>
      <c r="B974" s="16"/>
      <c r="C974" s="23"/>
      <c r="D974" s="48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8.75" customHeight="1" x14ac:dyDescent="0.2">
      <c r="A975" s="22"/>
      <c r="B975" s="16"/>
      <c r="C975" s="23"/>
      <c r="D975" s="48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8.75" customHeight="1" x14ac:dyDescent="0.2">
      <c r="A976" s="22"/>
      <c r="B976" s="16"/>
      <c r="C976" s="23"/>
      <c r="D976" s="48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8.75" customHeight="1" x14ac:dyDescent="0.2">
      <c r="A977" s="22"/>
      <c r="B977" s="16"/>
      <c r="C977" s="23"/>
      <c r="D977" s="48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8.75" customHeight="1" x14ac:dyDescent="0.2">
      <c r="A978" s="22"/>
      <c r="B978" s="16"/>
      <c r="C978" s="23"/>
      <c r="D978" s="48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8.75" customHeight="1" x14ac:dyDescent="0.2">
      <c r="A979" s="22"/>
      <c r="B979" s="16"/>
      <c r="C979" s="23"/>
      <c r="D979" s="48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8.75" customHeight="1" x14ac:dyDescent="0.2">
      <c r="A980" s="22"/>
      <c r="B980" s="16"/>
      <c r="C980" s="23"/>
      <c r="D980" s="48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8.75" customHeight="1" x14ac:dyDescent="0.2">
      <c r="A981" s="22"/>
      <c r="B981" s="16"/>
      <c r="C981" s="23"/>
      <c r="D981" s="48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8.75" customHeight="1" x14ac:dyDescent="0.2">
      <c r="A982" s="22"/>
      <c r="B982" s="16"/>
      <c r="C982" s="23"/>
      <c r="D982" s="48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8.75" customHeight="1" x14ac:dyDescent="0.2">
      <c r="A983" s="22"/>
      <c r="B983" s="16"/>
      <c r="C983" s="23"/>
      <c r="D983" s="48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8.75" customHeight="1" x14ac:dyDescent="0.2">
      <c r="A984" s="22"/>
      <c r="B984" s="16"/>
      <c r="C984" s="23"/>
      <c r="D984" s="48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8.75" customHeight="1" x14ac:dyDescent="0.2">
      <c r="A985" s="22"/>
      <c r="B985" s="16"/>
      <c r="C985" s="23"/>
      <c r="D985" s="48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8.75" customHeight="1" x14ac:dyDescent="0.2">
      <c r="A986" s="22"/>
      <c r="B986" s="16"/>
      <c r="C986" s="23"/>
      <c r="D986" s="48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8.75" customHeight="1" x14ac:dyDescent="0.2">
      <c r="A987" s="22"/>
      <c r="B987" s="16"/>
      <c r="C987" s="23"/>
      <c r="D987" s="48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8.75" customHeight="1" x14ac:dyDescent="0.2">
      <c r="A988" s="22"/>
      <c r="B988" s="16"/>
      <c r="C988" s="23"/>
      <c r="D988" s="48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8.75" customHeight="1" x14ac:dyDescent="0.2">
      <c r="A989" s="22"/>
      <c r="B989" s="16"/>
      <c r="C989" s="23"/>
      <c r="D989" s="48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8.75" customHeight="1" x14ac:dyDescent="0.2">
      <c r="A990" s="22"/>
      <c r="B990" s="16"/>
      <c r="C990" s="23"/>
      <c r="D990" s="48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8.75" customHeight="1" x14ac:dyDescent="0.2">
      <c r="A991" s="22"/>
      <c r="B991" s="16"/>
      <c r="C991" s="23"/>
      <c r="D991" s="48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8.75" customHeight="1" x14ac:dyDescent="0.2">
      <c r="A992" s="22"/>
      <c r="B992" s="16"/>
      <c r="C992" s="23"/>
      <c r="D992" s="48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8.75" customHeight="1" x14ac:dyDescent="0.2">
      <c r="A993" s="22"/>
      <c r="B993" s="16"/>
      <c r="C993" s="23"/>
      <c r="D993" s="48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8.75" customHeight="1" x14ac:dyDescent="0.2">
      <c r="A994" s="22"/>
      <c r="B994" s="16"/>
      <c r="C994" s="23"/>
      <c r="D994" s="48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8.75" customHeight="1" x14ac:dyDescent="0.2">
      <c r="A995" s="22"/>
      <c r="B995" s="16"/>
      <c r="C995" s="23"/>
      <c r="D995" s="48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8.75" customHeight="1" x14ac:dyDescent="0.2">
      <c r="A996" s="22"/>
      <c r="B996" s="16"/>
      <c r="C996" s="23"/>
      <c r="D996" s="48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8.75" customHeight="1" x14ac:dyDescent="0.2">
      <c r="A997" s="22"/>
      <c r="B997" s="16"/>
      <c r="C997" s="23"/>
      <c r="D997" s="48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8.75" customHeight="1" x14ac:dyDescent="0.2">
      <c r="A998" s="22"/>
      <c r="B998" s="16"/>
      <c r="C998" s="23"/>
      <c r="D998" s="48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8.75" customHeight="1" x14ac:dyDescent="0.2">
      <c r="A999" s="22"/>
      <c r="B999" s="16"/>
      <c r="C999" s="23"/>
      <c r="D999" s="48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mergeCells count="54">
    <mergeCell ref="D44:J44"/>
    <mergeCell ref="D45:J45"/>
    <mergeCell ref="A41:J41"/>
    <mergeCell ref="A42:C42"/>
    <mergeCell ref="D42:J42"/>
    <mergeCell ref="A43:C43"/>
    <mergeCell ref="D43:J43"/>
    <mergeCell ref="A44:C44"/>
    <mergeCell ref="A45:C45"/>
    <mergeCell ref="A1:B2"/>
    <mergeCell ref="C1:N1"/>
    <mergeCell ref="O1:Q1"/>
    <mergeCell ref="C2:N2"/>
    <mergeCell ref="O2:Q2"/>
    <mergeCell ref="A7:D7"/>
    <mergeCell ref="A8:C8"/>
    <mergeCell ref="D8:Q8"/>
    <mergeCell ref="C4:Q4"/>
    <mergeCell ref="A5:Q5"/>
    <mergeCell ref="A6:D6"/>
    <mergeCell ref="E7:H7"/>
    <mergeCell ref="I7:M7"/>
    <mergeCell ref="N7:P7"/>
    <mergeCell ref="Q7:R7"/>
    <mergeCell ref="E6:H6"/>
    <mergeCell ref="I6:M6"/>
    <mergeCell ref="N6:P6"/>
    <mergeCell ref="Q6:R6"/>
    <mergeCell ref="A9:H9"/>
    <mergeCell ref="I9:Q9"/>
    <mergeCell ref="A10:H10"/>
    <mergeCell ref="I10:Q10"/>
    <mergeCell ref="B11:C11"/>
    <mergeCell ref="B19:C19"/>
    <mergeCell ref="B20:C20"/>
    <mergeCell ref="B21:C21"/>
    <mergeCell ref="B12:C12"/>
    <mergeCell ref="B13:C13"/>
    <mergeCell ref="B14:C14"/>
    <mergeCell ref="B15:C15"/>
    <mergeCell ref="B16:C16"/>
    <mergeCell ref="B17:C17"/>
    <mergeCell ref="B18:C18"/>
    <mergeCell ref="B32:C32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</mergeCells>
  <conditionalFormatting sqref="B12:B39">
    <cfRule type="cellIs" dxfId="0" priority="1" stopIfTrue="1" operator="equal">
      <formula>"Disponible"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DOCUMENTO INTERNO</vt:lpstr>
      <vt:lpstr>FORMATOS</vt:lpstr>
      <vt:lpstr>MATRICES</vt:lpstr>
      <vt:lpstr>PETS</vt:lpstr>
      <vt:lpstr>PETAR</vt:lpstr>
      <vt:lpstr>REGLAMENTO</vt:lpstr>
      <vt:lpstr>PROCEDIMIENTOS</vt:lpstr>
      <vt:lpstr>PROTOCOLOS</vt:lpstr>
      <vt:lpstr>DOC EXTERNOS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Edson Giordano Perez Gutierrez</cp:lastModifiedBy>
  <dcterms:created xsi:type="dcterms:W3CDTF">2020-01-31T21:20:05Z</dcterms:created>
  <dcterms:modified xsi:type="dcterms:W3CDTF">2026-01-12T15:07:22Z</dcterms:modified>
</cp:coreProperties>
</file>