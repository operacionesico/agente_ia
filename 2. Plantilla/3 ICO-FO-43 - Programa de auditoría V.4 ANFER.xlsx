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edsonperez/desarrollo/agente_ia/2. Plantilla/"/>
    </mc:Choice>
  </mc:AlternateContent>
  <xr:revisionPtr revIDLastSave="0" documentId="13_ncr:1_{C84D2D9E-7846-134E-97F9-053905BF89F3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PROGRAMA DE AUDITORIA" sheetId="1" r:id="rId1"/>
    <sheet name="ANEX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jru1tPowotjGrk/BToNp8p9vJS8w=="/>
    </ext>
  </extLst>
</workbook>
</file>

<file path=xl/calcChain.xml><?xml version="1.0" encoding="utf-8"?>
<calcChain xmlns="http://schemas.openxmlformats.org/spreadsheetml/2006/main">
  <c r="N34" i="1" l="1"/>
  <c r="N35" i="1"/>
  <c r="N36" i="1"/>
  <c r="N37" i="1"/>
  <c r="N38" i="1"/>
  <c r="N33" i="1"/>
  <c r="L35" i="1"/>
  <c r="L36" i="1"/>
  <c r="L37" i="1"/>
  <c r="L38" i="1"/>
  <c r="L34" i="1"/>
  <c r="M33" i="1"/>
  <c r="K34" i="1"/>
  <c r="K35" i="1"/>
  <c r="K36" i="1"/>
  <c r="K37" i="1"/>
  <c r="K38" i="1"/>
  <c r="K33" i="1"/>
  <c r="I38" i="1"/>
  <c r="I37" i="1"/>
  <c r="I36" i="1"/>
  <c r="I35" i="1"/>
  <c r="I34" i="1"/>
  <c r="I33" i="1"/>
  <c r="O9" i="1"/>
  <c r="N9" i="1"/>
  <c r="O8" i="1"/>
  <c r="N8" i="1"/>
  <c r="O7" i="1"/>
  <c r="N7" i="1"/>
  <c r="O6" i="1"/>
  <c r="N6" i="1"/>
  <c r="N10" i="1" a="1"/>
  <c r="N10" i="1" s="1"/>
  <c r="I73" i="1"/>
  <c r="D19" i="1"/>
  <c r="J70" i="1"/>
  <c r="G70" i="1"/>
  <c r="J69" i="1"/>
  <c r="G69" i="1"/>
  <c r="J68" i="1"/>
  <c r="G68" i="1"/>
  <c r="G67" i="1"/>
  <c r="N70" i="1" l="1"/>
  <c r="N68" i="1"/>
  <c r="N67" i="1"/>
  <c r="N69" i="1"/>
  <c r="N19" i="1"/>
  <c r="N18" i="1" s="1"/>
  <c r="G19" i="1"/>
  <c r="G18" i="1" s="1"/>
  <c r="J19" i="1"/>
  <c r="J18" i="1" s="1"/>
  <c r="N22" i="1"/>
  <c r="G22" i="1"/>
  <c r="J2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<sst xmlns="http://schemas.openxmlformats.org/spreadsheetml/2006/main" count="228" uniqueCount="126">
  <si>
    <t>SISTEMA DE GESTIÓN</t>
  </si>
  <si>
    <t>Código del documento:</t>
  </si>
  <si>
    <t>ICO-FO-43</t>
  </si>
  <si>
    <t>PROGRAMA DE AUDITORÍA</t>
  </si>
  <si>
    <t>Versión:</t>
  </si>
  <si>
    <t>Razón Social:</t>
  </si>
  <si>
    <t>Norma a certificar:</t>
  </si>
  <si>
    <t>Aplicabilidad de muestreo multisitio: (solo si aplica):</t>
  </si>
  <si>
    <t>CICLO DE CERTIFICACIÓN</t>
  </si>
  <si>
    <t>FECHA PROBABLE DE AUDITORIA</t>
  </si>
  <si>
    <t>FECHA DE INICIO DEL CICLO</t>
  </si>
  <si>
    <t>AÑO 0</t>
  </si>
  <si>
    <t>AÑO 1</t>
  </si>
  <si>
    <t>AÑO 2</t>
  </si>
  <si>
    <t xml:space="preserve">AÑO 3 </t>
  </si>
  <si>
    <t>FECHAS DE OTORGAMIENTO</t>
  </si>
  <si>
    <t>FECHAS DE SEGUIMIENTO I</t>
  </si>
  <si>
    <t>FECHAS DE SEGUIMIENTO II</t>
  </si>
  <si>
    <t>FECHA DE RECERTIFICACIÓN</t>
  </si>
  <si>
    <t>Fecha de Alerta:</t>
  </si>
  <si>
    <t>Fecha Estimada:</t>
  </si>
  <si>
    <t>Fecha Ejecutada:</t>
  </si>
  <si>
    <t>FECHA DE VENCIMIENTO:</t>
  </si>
  <si>
    <t>SEDE</t>
  </si>
  <si>
    <t>TURNO</t>
  </si>
  <si>
    <t>PROCESO</t>
  </si>
  <si>
    <t>REQUISITOS DE LA NORMA</t>
  </si>
  <si>
    <t>AUDITORÍA INICIAL</t>
  </si>
  <si>
    <t>AUDITORÍA DE SEGUIMIENTO</t>
  </si>
  <si>
    <t>RECERTIFICACIÓN</t>
  </si>
  <si>
    <t xml:space="preserve">FASE 1 </t>
  </si>
  <si>
    <t>FASE 2</t>
  </si>
  <si>
    <t>Seguimiento 1</t>
  </si>
  <si>
    <t>Seguimiento 2</t>
  </si>
  <si>
    <t>ACTIVIDADES A CONSIDERAR</t>
  </si>
  <si>
    <t>COMENTARIOS</t>
  </si>
  <si>
    <t>QUEJAS</t>
  </si>
  <si>
    <t>COMPLEJIDAD</t>
  </si>
  <si>
    <t>PRODUCTOS Y/O SERVICIOS DEL CLIENTE</t>
  </si>
  <si>
    <t>USO DE LOGO Y MARCA</t>
  </si>
  <si>
    <t>REVISION DE AUDITORIAS PREVIAS</t>
  </si>
  <si>
    <t>CANTIDAD NC</t>
  </si>
  <si>
    <t xml:space="preserve">INDICADORES DE DESEMPEÑO </t>
  </si>
  <si>
    <t xml:space="preserve">TAMAÑO DE LA ORGANIZACIÓN </t>
  </si>
  <si>
    <t>PROCESOS SUBCONTRATADO</t>
  </si>
  <si>
    <t>VERIFICACIÓN DEL ALCANCE</t>
  </si>
  <si>
    <t>OBSERVACIONES:</t>
  </si>
  <si>
    <t>MUESTREO MUTISITIOS (LLENAR SOLO SI APLICA)</t>
  </si>
  <si>
    <t>CANTIDAD DE SEDES</t>
  </si>
  <si>
    <t>N/A</t>
  </si>
  <si>
    <t>SEDES QUE APLICA MULTISITIO</t>
  </si>
  <si>
    <t>SEDES QUE NO APLICA MULTISITIO</t>
  </si>
  <si>
    <t>MULTISITIO</t>
  </si>
  <si>
    <t>MULTIPLES SEDES (NO APLICA MUESTREO MULTISITIO)</t>
  </si>
  <si>
    <t>TOTAL DE SEDES A AUDITAR</t>
  </si>
  <si>
    <t>CICLO</t>
  </si>
  <si>
    <t>NUMERO DE SEDES SEGÚN FORMULA</t>
  </si>
  <si>
    <t>NOMBRE DE LAS SEDES A MUESTREAR</t>
  </si>
  <si>
    <t>NUMERO DE SEDES A AUDITAR</t>
  </si>
  <si>
    <t>NOMBRE DE LAS SEDES A AUDITAR</t>
  </si>
  <si>
    <t>OTORGAMIENTO</t>
  </si>
  <si>
    <t>SEGUIMIENTO 1</t>
  </si>
  <si>
    <t>SEGUIMIENTO 2</t>
  </si>
  <si>
    <t>SEGUIMIENTO 3</t>
  </si>
  <si>
    <t>REALIZADO POR:</t>
  </si>
  <si>
    <t>FECHA DE ACTUALIZACIÓN:</t>
  </si>
  <si>
    <t>FIRMA</t>
  </si>
  <si>
    <t>REVISADO POR:</t>
  </si>
  <si>
    <t>ANEXOS DEL SISTEMA DE GESTIÓN</t>
  </si>
  <si>
    <t>Objetivos de la auditoría de Fase 1</t>
  </si>
  <si>
    <t xml:space="preserve">Evaluar el sistema documentado del cliente, la ubicación y las condiciones específicas del sitio y recopilar otros detalles a través de conversaciones con el personal del cliente para determinar la preparación de la organización para la Fase II la Auditoría de Certificación. </t>
  </si>
  <si>
    <t>Objetivos de la auditoría de Fase 2</t>
  </si>
  <si>
    <t>Evaluar y confirmar la implementación efectiva de el o los sistemas de gestión implementados</t>
  </si>
  <si>
    <r>
      <rPr>
        <sz val="11"/>
        <color theme="1"/>
        <rFont val="Calibri"/>
        <family val="2"/>
      </rPr>
      <t xml:space="preserve">      1)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</rPr>
      <t>Determinar el cumplimiento del sistema de gestión con los criterios de auditoría.</t>
    </r>
  </si>
  <si>
    <r>
      <rPr>
        <sz val="11"/>
        <color theme="1"/>
        <rFont val="Calibri"/>
        <family val="2"/>
      </rPr>
      <t xml:space="preserve">     2)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</rPr>
      <t>Determinar la capacidad del sistema de gestión para garantizar que la organización cumpla los requisitos legales, reglamentarios y contractuales aplicables.</t>
    </r>
  </si>
  <si>
    <r>
      <rPr>
        <sz val="11"/>
        <color theme="1"/>
        <rFont val="Calibri"/>
        <family val="2"/>
      </rPr>
      <t xml:space="preserve">    3)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</rPr>
      <t>Evaluar la eficacia del sistema de gestión para asegurar que se puede esperar razonablemente que cumpla los objetivos especificados.</t>
    </r>
  </si>
  <si>
    <r>
      <rPr>
        <sz val="11"/>
        <color theme="1"/>
        <rFont val="Calibri"/>
        <family val="2"/>
      </rPr>
      <t xml:space="preserve">   4)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</rPr>
      <t>Evaluar la identificación de las áreas de posible mejora del sistema de gestión.</t>
    </r>
  </si>
  <si>
    <r>
      <rPr>
        <sz val="11"/>
        <color theme="1"/>
        <rFont val="Calibri"/>
        <family val="2"/>
      </rPr>
      <t xml:space="preserve">   5)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</rPr>
      <t>Evaluar o confirmar el levantamiento de hallazgos de la Auditoría de Fase 1</t>
    </r>
  </si>
  <si>
    <t>Acreditación</t>
  </si>
  <si>
    <t>Frecuencia de seguimientos:</t>
  </si>
  <si>
    <t>DIGITE LA FECHA SOLICITADA POR EL CLIENTE</t>
  </si>
  <si>
    <r>
      <t xml:space="preserve">FECHA FASE 1 </t>
    </r>
    <r>
      <rPr>
        <b/>
        <sz val="10"/>
        <color theme="5" tint="-0.249977111117893"/>
        <rFont val="Arial"/>
        <family val="2"/>
      </rPr>
      <t>(Digite fecha real)</t>
    </r>
  </si>
  <si>
    <r>
      <t xml:space="preserve">FECHA FASE 2 </t>
    </r>
    <r>
      <rPr>
        <b/>
        <sz val="10"/>
        <color theme="5" tint="-0.249977111117893"/>
        <rFont val="Arial"/>
        <family val="2"/>
      </rPr>
      <t>(Digite fecha real)</t>
    </r>
  </si>
  <si>
    <r>
      <t xml:space="preserve">FECHA DECISIÓN
 </t>
    </r>
    <r>
      <rPr>
        <b/>
        <sz val="10"/>
        <color theme="5" tint="-0.249977111117893"/>
        <rFont val="Arial"/>
        <family val="2"/>
      </rPr>
      <t>(Digite fecha real)</t>
    </r>
  </si>
  <si>
    <r>
      <t xml:space="preserve">Fecha Ejecutada
</t>
    </r>
    <r>
      <rPr>
        <b/>
        <sz val="10"/>
        <color theme="5" tint="-0.249977111117893"/>
        <rFont val="Arial"/>
        <family val="2"/>
      </rPr>
      <t>(Digite fecha real)</t>
    </r>
  </si>
  <si>
    <t>N° de registro del cliente</t>
  </si>
  <si>
    <t>Código IAF / Código NACE:</t>
  </si>
  <si>
    <t>ANUAL</t>
  </si>
  <si>
    <t>CAMBIOS (DETALLAR CAMBIOS)</t>
  </si>
  <si>
    <t>CALCULO DE DIAS</t>
  </si>
  <si>
    <t>F1</t>
  </si>
  <si>
    <t>F2</t>
  </si>
  <si>
    <t>coloque las direcciones</t>
  </si>
  <si>
    <t>Alcance de certificación:</t>
  </si>
  <si>
    <t>Tipo de auditoría</t>
  </si>
  <si>
    <r>
      <t xml:space="preserve">ASIGNACIÓN DE PROCESO </t>
    </r>
    <r>
      <rPr>
        <b/>
        <sz val="10"/>
        <color rgb="FF808080"/>
        <rFont val="Arial"/>
        <family val="2"/>
      </rPr>
      <t>(para ser llenado por Área de Operaciones)</t>
    </r>
  </si>
  <si>
    <t>PRINCIPAL</t>
  </si>
  <si>
    <t>DIURNO</t>
  </si>
  <si>
    <t>4, 5, 6, 7, 8</t>
  </si>
  <si>
    <t>x</t>
  </si>
  <si>
    <t>-</t>
  </si>
  <si>
    <t>X</t>
  </si>
  <si>
    <t>VERIFICAR EN LOS PROXIMOS AÑOS</t>
  </si>
  <si>
    <t>4, 5, 6, 7, 8, 9, 10</t>
  </si>
  <si>
    <t>ENRIQUE PIÑANGO</t>
  </si>
  <si>
    <t>{{CONTRATO}}</t>
  </si>
  <si>
    <t xml:space="preserve">IAF {{IAF_CODIGOS}}
NACE {{NACE_CODIGOS}}
{{SECTORES}}
</t>
  </si>
  <si>
    <t>{{ALCANCE}}</t>
  </si>
  <si>
    <t>{{FECHA_INI_FASE2}}</t>
  </si>
  <si>
    <t>{{FECHA_EMISION_CERT}}</t>
  </si>
  <si>
    <t>{{FECHA_INI_FASE1}}</t>
  </si>
  <si>
    <t>{{DIAS_FASE1}}</t>
  </si>
  <si>
    <t>{{DIAS_FASE2}}</t>
  </si>
  <si>
    <t>{{FECHA_FORM_APLICACION}}</t>
  </si>
  <si>
    <t>{{NORMA1_RESUMEN}}</t>
  </si>
  <si>
    <t>{{NORMA2_RESUMEN}}</t>
  </si>
  <si>
    <t>{{NORMA3_RESUMEN}}</t>
  </si>
  <si>
    <t>{{NORMA4_RESUMEN}}</t>
  </si>
  <si>
    <t>{{PROCESO_1}}</t>
  </si>
  <si>
    <t>{{PROCESO_2}}</t>
  </si>
  <si>
    <t>{{PROCESO_3}}</t>
  </si>
  <si>
    <t>{{PROCESO_4}}</t>
  </si>
  <si>
    <t>{{PROCESO_5}}</t>
  </si>
  <si>
    <t>{{PROCESO_6}}</t>
  </si>
  <si>
    <t>{{PROCESO_7}}</t>
  </si>
  <si>
    <t>{{PROCESO_8}}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</si>
</sst>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rgb="FFDD0806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808080"/>
      <name val="Arial"/>
      <family val="2"/>
    </font>
    <font>
      <sz val="7"/>
      <color rgb="FF000000"/>
      <name val="Times New Roman"/>
      <family val="1"/>
    </font>
    <font>
      <sz val="11"/>
      <color rgb="FF000000"/>
      <name val="Calibri"/>
      <family val="2"/>
    </font>
    <font>
      <b/>
      <sz val="10"/>
      <color theme="5" tint="-0.249977111117893"/>
      <name val="Arial"/>
      <family val="2"/>
    </font>
    <font>
      <sz val="8"/>
      <name val="Arial"/>
      <family val="2"/>
      <scheme val="minor"/>
    </font>
    <font>
      <b/>
      <sz val="10"/>
      <color rgb="FFFF0000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9594"/>
        <bgColor rgb="FFD99594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</fills>
  <borders count="111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vertical="center"/>
    </xf>
    <xf numFmtId="0" fontId="1" fillId="2" borderId="2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right" vertical="center" wrapText="1"/>
    </xf>
    <xf numFmtId="0" fontId="3" fillId="2" borderId="21" xfId="0" applyFont="1" applyFill="1" applyBorder="1" applyAlignment="1">
      <alignment vertical="center"/>
    </xf>
    <xf numFmtId="0" fontId="3" fillId="2" borderId="22" xfId="0" applyFont="1" applyFill="1" applyBorder="1" applyAlignment="1">
      <alignment vertical="center"/>
    </xf>
    <xf numFmtId="0" fontId="3" fillId="2" borderId="21" xfId="0" applyFont="1" applyFill="1" applyBorder="1" applyAlignment="1">
      <alignment horizontal="right" vertical="center" wrapText="1"/>
    </xf>
    <xf numFmtId="14" fontId="7" fillId="3" borderId="36" xfId="0" applyNumberFormat="1" applyFont="1" applyFill="1" applyBorder="1" applyAlignment="1">
      <alignment horizontal="center" vertical="center"/>
    </xf>
    <xf numFmtId="14" fontId="7" fillId="3" borderId="37" xfId="0" applyNumberFormat="1" applyFont="1" applyFill="1" applyBorder="1" applyAlignment="1">
      <alignment horizontal="center" vertical="center"/>
    </xf>
    <xf numFmtId="14" fontId="3" fillId="2" borderId="36" xfId="0" applyNumberFormat="1" applyFont="1" applyFill="1" applyBorder="1" applyAlignment="1">
      <alignment horizontal="right" vertical="center" wrapText="1"/>
    </xf>
    <xf numFmtId="14" fontId="3" fillId="2" borderId="22" xfId="0" applyNumberFormat="1" applyFont="1" applyFill="1" applyBorder="1" applyAlignment="1">
      <alignment horizontal="right" vertical="center" wrapText="1"/>
    </xf>
    <xf numFmtId="0" fontId="3" fillId="2" borderId="38" xfId="0" applyFont="1" applyFill="1" applyBorder="1" applyAlignment="1">
      <alignment horizontal="center" vertical="center" wrapText="1"/>
    </xf>
    <xf numFmtId="14" fontId="7" fillId="3" borderId="40" xfId="0" applyNumberFormat="1" applyFont="1" applyFill="1" applyBorder="1" applyAlignment="1">
      <alignment horizontal="center" vertical="center"/>
    </xf>
    <xf numFmtId="14" fontId="7" fillId="3" borderId="39" xfId="0" applyNumberFormat="1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1" fillId="2" borderId="52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2" borderId="60" xfId="0" applyFont="1" applyFill="1" applyBorder="1" applyAlignment="1">
      <alignment horizontal="center" vertical="center"/>
    </xf>
    <xf numFmtId="0" fontId="1" fillId="2" borderId="65" xfId="0" applyFont="1" applyFill="1" applyBorder="1" applyAlignment="1">
      <alignment horizontal="center" vertical="center"/>
    </xf>
    <xf numFmtId="0" fontId="1" fillId="2" borderId="66" xfId="0" applyFont="1" applyFill="1" applyBorder="1" applyAlignment="1">
      <alignment horizontal="center" vertical="center" wrapText="1"/>
    </xf>
    <xf numFmtId="0" fontId="1" fillId="2" borderId="70" xfId="0" applyFont="1" applyFill="1" applyBorder="1" applyAlignment="1">
      <alignment horizontal="center" vertical="center"/>
    </xf>
    <xf numFmtId="0" fontId="1" fillId="2" borderId="71" xfId="0" applyFont="1" applyFill="1" applyBorder="1" applyAlignment="1">
      <alignment horizontal="center" vertical="center"/>
    </xf>
    <xf numFmtId="0" fontId="1" fillId="2" borderId="72" xfId="0" applyFont="1" applyFill="1" applyBorder="1" applyAlignment="1">
      <alignment horizontal="center" vertical="center"/>
    </xf>
    <xf numFmtId="0" fontId="1" fillId="2" borderId="7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8" fillId="2" borderId="21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8" fillId="2" borderId="76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right" vertical="center" wrapText="1"/>
    </xf>
    <xf numFmtId="0" fontId="8" fillId="2" borderId="22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14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vertical="center"/>
    </xf>
    <xf numFmtId="0" fontId="1" fillId="2" borderId="77" xfId="0" applyFont="1" applyFill="1" applyBorder="1" applyAlignment="1">
      <alignment vertical="center"/>
    </xf>
    <xf numFmtId="0" fontId="1" fillId="2" borderId="39" xfId="0" applyFont="1" applyFill="1" applyBorder="1" applyAlignment="1">
      <alignment vertical="center"/>
    </xf>
    <xf numFmtId="0" fontId="13" fillId="0" borderId="0" xfId="0" applyFont="1"/>
    <xf numFmtId="0" fontId="13" fillId="0" borderId="2" xfId="0" applyFont="1" applyBorder="1" applyAlignment="1">
      <alignment horizontal="center"/>
    </xf>
    <xf numFmtId="0" fontId="14" fillId="4" borderId="78" xfId="0" applyFont="1" applyFill="1" applyBorder="1" applyAlignment="1">
      <alignment horizontal="center" vertical="center"/>
    </xf>
    <xf numFmtId="0" fontId="14" fillId="4" borderId="79" xfId="0" applyFont="1" applyFill="1" applyBorder="1" applyAlignment="1">
      <alignment vertical="center"/>
    </xf>
    <xf numFmtId="0" fontId="3" fillId="2" borderId="23" xfId="0" applyFont="1" applyFill="1" applyBorder="1" applyAlignment="1">
      <alignment horizontal="right" vertical="center"/>
    </xf>
    <xf numFmtId="0" fontId="1" fillId="2" borderId="58" xfId="0" applyFont="1" applyFill="1" applyBorder="1" applyAlignment="1">
      <alignment vertical="center"/>
    </xf>
    <xf numFmtId="0" fontId="1" fillId="2" borderId="83" xfId="0" applyFont="1" applyFill="1" applyBorder="1" applyAlignment="1">
      <alignment vertical="center"/>
    </xf>
    <xf numFmtId="0" fontId="1" fillId="2" borderId="35" xfId="0" applyFont="1" applyFill="1" applyBorder="1" applyAlignment="1">
      <alignment vertical="center"/>
    </xf>
    <xf numFmtId="0" fontId="3" fillId="2" borderId="58" xfId="0" applyFont="1" applyFill="1" applyBorder="1" applyAlignment="1">
      <alignment vertical="center"/>
    </xf>
    <xf numFmtId="0" fontId="4" fillId="2" borderId="58" xfId="0" applyFont="1" applyFill="1" applyBorder="1" applyAlignment="1">
      <alignment horizontal="left" vertical="center"/>
    </xf>
    <xf numFmtId="0" fontId="3" fillId="2" borderId="58" xfId="0" applyFont="1" applyFill="1" applyBorder="1" applyAlignment="1">
      <alignment horizontal="right" vertical="center"/>
    </xf>
    <xf numFmtId="0" fontId="3" fillId="2" borderId="83" xfId="0" applyFont="1" applyFill="1" applyBorder="1" applyAlignment="1">
      <alignment horizontal="right" vertical="center" wrapText="1"/>
    </xf>
    <xf numFmtId="0" fontId="3" fillId="2" borderId="85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right" vertical="center" indent="1"/>
    </xf>
    <xf numFmtId="0" fontId="1" fillId="2" borderId="96" xfId="0" applyFont="1" applyFill="1" applyBorder="1" applyAlignment="1">
      <alignment vertical="center"/>
    </xf>
    <xf numFmtId="0" fontId="1" fillId="2" borderId="97" xfId="0" applyFont="1" applyFill="1" applyBorder="1" applyAlignment="1">
      <alignment vertical="center"/>
    </xf>
    <xf numFmtId="0" fontId="3" fillId="2" borderId="96" xfId="0" applyFont="1" applyFill="1" applyBorder="1" applyAlignment="1">
      <alignment vertical="center" wrapText="1"/>
    </xf>
    <xf numFmtId="14" fontId="6" fillId="2" borderId="98" xfId="0" applyNumberFormat="1" applyFont="1" applyFill="1" applyBorder="1" applyAlignment="1">
      <alignment horizontal="center" vertical="center"/>
    </xf>
    <xf numFmtId="0" fontId="3" fillId="2" borderId="99" xfId="0" applyFont="1" applyFill="1" applyBorder="1" applyAlignment="1">
      <alignment vertical="center" wrapText="1"/>
    </xf>
    <xf numFmtId="14" fontId="6" fillId="2" borderId="100" xfId="0" applyNumberFormat="1" applyFont="1" applyFill="1" applyBorder="1" applyAlignment="1">
      <alignment horizontal="center" vertical="center"/>
    </xf>
    <xf numFmtId="0" fontId="1" fillId="2" borderId="101" xfId="0" applyFont="1" applyFill="1" applyBorder="1" applyAlignment="1">
      <alignment vertical="center"/>
    </xf>
    <xf numFmtId="164" fontId="21" fillId="2" borderId="100" xfId="0" applyNumberFormat="1" applyFont="1" applyFill="1" applyBorder="1" applyAlignment="1">
      <alignment horizontal="center" vertical="center"/>
    </xf>
    <xf numFmtId="164" fontId="1" fillId="2" borderId="102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3" fillId="2" borderId="35" xfId="0" applyFont="1" applyFill="1" applyBorder="1" applyAlignment="1">
      <alignment vertical="center"/>
    </xf>
    <xf numFmtId="164" fontId="1" fillId="2" borderId="58" xfId="0" applyNumberFormat="1" applyFont="1" applyFill="1" applyBorder="1" applyAlignment="1">
      <alignment horizontal="center" vertical="center"/>
    </xf>
    <xf numFmtId="0" fontId="22" fillId="0" borderId="104" xfId="0" applyFont="1" applyBorder="1" applyAlignment="1">
      <alignment horizontal="center" wrapText="1"/>
    </xf>
    <xf numFmtId="0" fontId="22" fillId="5" borderId="105" xfId="0" applyFont="1" applyFill="1" applyBorder="1" applyAlignment="1">
      <alignment wrapText="1"/>
    </xf>
    <xf numFmtId="0" fontId="22" fillId="5" borderId="105" xfId="0" applyFont="1" applyFill="1" applyBorder="1" applyAlignment="1">
      <alignment horizontal="center" wrapText="1"/>
    </xf>
    <xf numFmtId="0" fontId="22" fillId="0" borderId="106" xfId="0" applyFont="1" applyBorder="1" applyAlignment="1">
      <alignment horizontal="center" wrapText="1"/>
    </xf>
    <xf numFmtId="0" fontId="22" fillId="5" borderId="107" xfId="0" applyFont="1" applyFill="1" applyBorder="1" applyAlignment="1">
      <alignment horizontal="center" wrapText="1"/>
    </xf>
    <xf numFmtId="0" fontId="22" fillId="5" borderId="107" xfId="0" applyFont="1" applyFill="1" applyBorder="1" applyAlignment="1">
      <alignment wrapText="1"/>
    </xf>
    <xf numFmtId="0" fontId="22" fillId="0" borderId="107" xfId="0" applyFont="1" applyBorder="1" applyAlignment="1">
      <alignment horizontal="center" wrapText="1"/>
    </xf>
    <xf numFmtId="0" fontId="2" fillId="0" borderId="91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2" fillId="0" borderId="108" xfId="0" applyFont="1" applyBorder="1"/>
    <xf numFmtId="0" fontId="1" fillId="2" borderId="35" xfId="0" applyFont="1" applyFill="1" applyBorder="1" applyAlignment="1">
      <alignment horizontal="center" vertical="center"/>
    </xf>
    <xf numFmtId="14" fontId="6" fillId="0" borderId="98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2" fillId="0" borderId="8" xfId="0" applyFont="1" applyBorder="1"/>
    <xf numFmtId="0" fontId="0" fillId="0" borderId="0" xfId="0"/>
    <xf numFmtId="0" fontId="2" fillId="0" borderId="9" xfId="0" applyFont="1" applyBorder="1"/>
    <xf numFmtId="0" fontId="2" fillId="0" borderId="15" xfId="0" applyFont="1" applyBorder="1"/>
    <xf numFmtId="0" fontId="2" fillId="0" borderId="11" xfId="0" applyFont="1" applyBorder="1"/>
    <xf numFmtId="0" fontId="2" fillId="0" borderId="12" xfId="0" applyFont="1" applyBorder="1"/>
    <xf numFmtId="0" fontId="3" fillId="2" borderId="5" xfId="0" applyFont="1" applyFill="1" applyBorder="1" applyAlignment="1">
      <alignment horizontal="center" vertical="center"/>
    </xf>
    <xf numFmtId="0" fontId="2" fillId="0" borderId="10" xfId="0" applyFont="1" applyBorder="1"/>
    <xf numFmtId="0" fontId="1" fillId="2" borderId="6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1" fillId="2" borderId="5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14" xfId="0" applyFont="1" applyBorder="1"/>
    <xf numFmtId="0" fontId="3" fillId="2" borderId="16" xfId="0" applyFont="1" applyFill="1" applyBorder="1" applyAlignment="1">
      <alignment horizontal="center" vertical="center"/>
    </xf>
    <xf numFmtId="0" fontId="2" fillId="0" borderId="17" xfId="0" applyFont="1" applyBorder="1"/>
    <xf numFmtId="0" fontId="2" fillId="0" borderId="18" xfId="0" applyFont="1" applyBorder="1"/>
    <xf numFmtId="0" fontId="1" fillId="2" borderId="16" xfId="0" applyFont="1" applyFill="1" applyBorder="1" applyAlignment="1">
      <alignment horizontal="center" vertical="center"/>
    </xf>
    <xf numFmtId="0" fontId="2" fillId="0" borderId="20" xfId="0" applyFont="1" applyBorder="1"/>
    <xf numFmtId="0" fontId="3" fillId="2" borderId="23" xfId="0" applyFont="1" applyFill="1" applyBorder="1" applyAlignment="1">
      <alignment horizontal="right" vertical="center"/>
    </xf>
    <xf numFmtId="0" fontId="2" fillId="0" borderId="24" xfId="0" applyFont="1" applyBorder="1"/>
    <xf numFmtId="0" fontId="3" fillId="2" borderId="25" xfId="0" applyFont="1" applyFill="1" applyBorder="1" applyAlignment="1">
      <alignment horizontal="center" vertical="center" wrapText="1"/>
    </xf>
    <xf numFmtId="0" fontId="2" fillId="0" borderId="26" xfId="0" applyFont="1" applyBorder="1"/>
    <xf numFmtId="0" fontId="2" fillId="0" borderId="27" xfId="0" applyFont="1" applyBorder="1"/>
    <xf numFmtId="0" fontId="3" fillId="2" borderId="90" xfId="0" applyFont="1" applyFill="1" applyBorder="1" applyAlignment="1">
      <alignment horizontal="center" vertical="center"/>
    </xf>
    <xf numFmtId="0" fontId="2" fillId="0" borderId="90" xfId="0" applyFont="1" applyBorder="1"/>
    <xf numFmtId="0" fontId="6" fillId="3" borderId="30" xfId="0" applyFont="1" applyFill="1" applyBorder="1" applyAlignment="1">
      <alignment horizontal="center" vertical="center"/>
    </xf>
    <xf numFmtId="0" fontId="2" fillId="0" borderId="31" xfId="0" applyFont="1" applyBorder="1"/>
    <xf numFmtId="0" fontId="2" fillId="0" borderId="28" xfId="0" applyFont="1" applyBorder="1"/>
    <xf numFmtId="0" fontId="4" fillId="2" borderId="23" xfId="0" applyFont="1" applyFill="1" applyBorder="1" applyAlignment="1">
      <alignment horizontal="left" vertical="center"/>
    </xf>
    <xf numFmtId="14" fontId="5" fillId="3" borderId="25" xfId="0" applyNumberFormat="1" applyFont="1" applyFill="1" applyBorder="1" applyAlignment="1">
      <alignment horizontal="center" vertical="center"/>
    </xf>
    <xf numFmtId="0" fontId="6" fillId="3" borderId="92" xfId="0" applyFont="1" applyFill="1" applyBorder="1" applyAlignment="1">
      <alignment horizontal="center" vertical="center"/>
    </xf>
    <xf numFmtId="0" fontId="2" fillId="0" borderId="93" xfId="0" applyFont="1" applyBorder="1"/>
    <xf numFmtId="0" fontId="20" fillId="2" borderId="58" xfId="0" applyFont="1" applyFill="1" applyBorder="1" applyAlignment="1">
      <alignment horizontal="center" vertical="center" wrapText="1"/>
    </xf>
    <xf numFmtId="0" fontId="20" fillId="2" borderId="58" xfId="0" applyFont="1" applyFill="1" applyBorder="1" applyAlignment="1">
      <alignment vertical="center" wrapText="1"/>
    </xf>
    <xf numFmtId="0" fontId="3" fillId="2" borderId="23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 wrapText="1"/>
    </xf>
    <xf numFmtId="0" fontId="1" fillId="2" borderId="59" xfId="0" applyFont="1" applyFill="1" applyBorder="1" applyAlignment="1">
      <alignment horizontal="center" vertical="center"/>
    </xf>
    <xf numFmtId="0" fontId="2" fillId="0" borderId="61" xfId="0" applyFont="1" applyBorder="1"/>
    <xf numFmtId="0" fontId="1" fillId="2" borderId="6" xfId="0" applyFont="1" applyFill="1" applyBorder="1" applyAlignment="1">
      <alignment horizontal="center" vertical="center"/>
    </xf>
    <xf numFmtId="0" fontId="2" fillId="0" borderId="62" xfId="0" applyFont="1" applyBorder="1"/>
    <xf numFmtId="0" fontId="1" fillId="2" borderId="41" xfId="0" applyFont="1" applyFill="1" applyBorder="1" applyAlignment="1">
      <alignment horizontal="center" vertical="center"/>
    </xf>
    <xf numFmtId="0" fontId="2" fillId="0" borderId="42" xfId="0" applyFont="1" applyBorder="1"/>
    <xf numFmtId="0" fontId="1" fillId="2" borderId="50" xfId="0" applyFont="1" applyFill="1" applyBorder="1" applyAlignment="1">
      <alignment horizontal="center" vertical="center"/>
    </xf>
    <xf numFmtId="0" fontId="2" fillId="0" borderId="48" xfId="0" applyFont="1" applyBorder="1"/>
    <xf numFmtId="0" fontId="1" fillId="2" borderId="30" xfId="0" applyFont="1" applyFill="1" applyBorder="1" applyAlignment="1">
      <alignment horizontal="center" vertical="center"/>
    </xf>
    <xf numFmtId="0" fontId="2" fillId="0" borderId="63" xfId="0" applyFont="1" applyBorder="1"/>
    <xf numFmtId="0" fontId="1" fillId="2" borderId="64" xfId="0" applyFont="1" applyFill="1" applyBorder="1" applyAlignment="1">
      <alignment horizontal="center" vertical="center" wrapText="1"/>
    </xf>
    <xf numFmtId="0" fontId="2" fillId="0" borderId="69" xfId="0" applyFont="1" applyBorder="1"/>
    <xf numFmtId="0" fontId="1" fillId="2" borderId="67" xfId="0" applyFont="1" applyFill="1" applyBorder="1" applyAlignment="1">
      <alignment horizontal="center" vertical="center"/>
    </xf>
    <xf numFmtId="0" fontId="2" fillId="0" borderId="68" xfId="0" applyFont="1" applyBorder="1"/>
    <xf numFmtId="0" fontId="2" fillId="0" borderId="29" xfId="0" applyFont="1" applyBorder="1"/>
    <xf numFmtId="0" fontId="2" fillId="0" borderId="74" xfId="0" applyFont="1" applyBorder="1"/>
    <xf numFmtId="0" fontId="10" fillId="2" borderId="23" xfId="0" applyFont="1" applyFill="1" applyBorder="1" applyAlignment="1">
      <alignment horizontal="right" vertical="center" wrapText="1"/>
    </xf>
    <xf numFmtId="14" fontId="8" fillId="2" borderId="25" xfId="0" applyNumberFormat="1" applyFont="1" applyFill="1" applyBorder="1" applyAlignment="1">
      <alignment horizontal="center" vertical="center"/>
    </xf>
    <xf numFmtId="14" fontId="8" fillId="6" borderId="25" xfId="0" applyNumberFormat="1" applyFont="1" applyFill="1" applyBorder="1" applyAlignment="1">
      <alignment horizontal="center" vertical="center"/>
    </xf>
    <xf numFmtId="0" fontId="2" fillId="7" borderId="26" xfId="0" applyFont="1" applyFill="1" applyBorder="1"/>
    <xf numFmtId="0" fontId="2" fillId="7" borderId="27" xfId="0" applyFont="1" applyFill="1" applyBorder="1"/>
    <xf numFmtId="0" fontId="2" fillId="0" borderId="51" xfId="0" applyFont="1" applyBorder="1"/>
    <xf numFmtId="0" fontId="2" fillId="0" borderId="75" xfId="0" applyFont="1" applyBorder="1"/>
    <xf numFmtId="0" fontId="12" fillId="2" borderId="25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47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2" fillId="0" borderId="44" xfId="0" applyFont="1" applyBorder="1"/>
    <xf numFmtId="0" fontId="1" fillId="2" borderId="45" xfId="0" applyFont="1" applyFill="1" applyBorder="1" applyAlignment="1">
      <alignment horizontal="center" vertical="center"/>
    </xf>
    <xf numFmtId="0" fontId="3" fillId="2" borderId="53" xfId="0" applyFont="1" applyFill="1" applyBorder="1" applyAlignment="1">
      <alignment horizontal="center" vertical="center"/>
    </xf>
    <xf numFmtId="0" fontId="2" fillId="0" borderId="54" xfId="0" applyFont="1" applyBorder="1"/>
    <xf numFmtId="0" fontId="2" fillId="0" borderId="56" xfId="0" applyFont="1" applyBorder="1"/>
    <xf numFmtId="0" fontId="2" fillId="0" borderId="57" xfId="0" applyFont="1" applyBorder="1"/>
    <xf numFmtId="0" fontId="3" fillId="2" borderId="55" xfId="0" applyFont="1" applyFill="1" applyBorder="1" applyAlignment="1">
      <alignment horizontal="center" vertical="center"/>
    </xf>
    <xf numFmtId="0" fontId="2" fillId="0" borderId="58" xfId="0" applyFont="1" applyBorder="1"/>
    <xf numFmtId="0" fontId="1" fillId="2" borderId="4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1" fillId="2" borderId="89" xfId="0" applyFont="1" applyFill="1" applyBorder="1" applyAlignment="1">
      <alignment horizontal="center" vertical="center"/>
    </xf>
    <xf numFmtId="0" fontId="3" fillId="2" borderId="94" xfId="0" applyFont="1" applyFill="1" applyBorder="1" applyAlignment="1">
      <alignment horizontal="center" vertical="center"/>
    </xf>
    <xf numFmtId="0" fontId="2" fillId="0" borderId="95" xfId="0" applyFont="1" applyBorder="1"/>
    <xf numFmtId="0" fontId="3" fillId="2" borderId="32" xfId="0" applyFont="1" applyFill="1" applyBorder="1" applyAlignment="1">
      <alignment horizontal="center" vertical="center"/>
    </xf>
    <xf numFmtId="0" fontId="2" fillId="0" borderId="33" xfId="0" applyFont="1" applyBorder="1"/>
    <xf numFmtId="0" fontId="3" fillId="2" borderId="4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09" xfId="0" applyFont="1" applyBorder="1"/>
    <xf numFmtId="0" fontId="3" fillId="2" borderId="34" xfId="0" applyFont="1" applyFill="1" applyBorder="1" applyAlignment="1">
      <alignment horizontal="center" vertical="center"/>
    </xf>
    <xf numFmtId="0" fontId="2" fillId="0" borderId="35" xfId="0" applyFont="1" applyBorder="1"/>
    <xf numFmtId="0" fontId="1" fillId="2" borderId="110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3" fillId="0" borderId="16" xfId="0" applyFont="1" applyBorder="1" applyAlignment="1">
      <alignment horizontal="left" wrapText="1"/>
    </xf>
    <xf numFmtId="0" fontId="14" fillId="0" borderId="2" xfId="0" applyFont="1" applyBorder="1" applyAlignment="1">
      <alignment horizontal="center" vertical="center"/>
    </xf>
    <xf numFmtId="0" fontId="13" fillId="0" borderId="80" xfId="0" applyFont="1" applyBorder="1" applyAlignment="1">
      <alignment horizontal="left" wrapText="1"/>
    </xf>
    <xf numFmtId="0" fontId="14" fillId="4" borderId="81" xfId="0" applyFont="1" applyFill="1" applyBorder="1" applyAlignment="1">
      <alignment horizontal="center" vertical="center"/>
    </xf>
    <xf numFmtId="0" fontId="2" fillId="0" borderId="83" xfId="0" applyFont="1" applyBorder="1"/>
    <xf numFmtId="0" fontId="2" fillId="0" borderId="85" xfId="0" applyFont="1" applyBorder="1"/>
    <xf numFmtId="0" fontId="14" fillId="4" borderId="82" xfId="0" applyFont="1" applyFill="1" applyBorder="1" applyAlignment="1">
      <alignment horizontal="left" vertical="center"/>
    </xf>
    <xf numFmtId="0" fontId="2" fillId="0" borderId="84" xfId="0" applyFont="1" applyBorder="1"/>
    <xf numFmtId="0" fontId="13" fillId="0" borderId="10" xfId="0" applyFont="1" applyBorder="1" applyAlignment="1">
      <alignment horizontal="left" wrapText="1"/>
    </xf>
    <xf numFmtId="0" fontId="13" fillId="0" borderId="86" xfId="0" applyFont="1" applyBorder="1" applyAlignment="1">
      <alignment horizontal="left" wrapText="1"/>
    </xf>
    <xf numFmtId="0" fontId="2" fillId="0" borderId="87" xfId="0" applyFont="1" applyBorder="1"/>
    <xf numFmtId="0" fontId="2" fillId="0" borderId="88" xfId="0" applyFont="1" applyBorder="1"/>
    <xf numFmtId="0" fontId="1" fillId="2" borderId="25" xfId="0" applyFont="1" applyFill="1" applyBorder="1" applyAlignment="1">
      <alignment horizontal="center"/>
    </xf>
    <xf numFmtId="0" fontId="1" fillId="2" borderId="103" xfId="0" applyFont="1" applyFill="1" applyBorder="1" applyAlignment="1">
      <alignment horizontal="center"/>
    </xf>
    <xf numFmtId="0" fontId="1" fillId="2" borderId="25" xfId="0" applyFont="1" applyFill="1" applyBorder="1" applyAlignment="1" applyProtection="1">
      <alignment horizontal="center"/>
      <protection locked="0"/>
    </xf>
    <xf numFmtId="0" fontId="22" fillId="0" borderId="10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304800</xdr:colOff>
      <xdr:row>17</xdr:row>
      <xdr:rowOff>295275</xdr:rowOff>
    </xdr:from>
    <xdr:ext cx="600075" cy="3905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045963" y="3589500"/>
          <a:ext cx="600075" cy="381000"/>
        </a:xfrm>
        <a:prstGeom prst="rightArrow">
          <a:avLst>
            <a:gd name="adj1" fmla="val 50000"/>
            <a:gd name="adj2" fmla="val 50000"/>
          </a:avLst>
        </a:prstGeom>
        <a:solidFill>
          <a:srgbClr val="C00000"/>
        </a:solidFill>
        <a:ln w="9525" cap="flat" cmpd="sng">
          <a:solidFill>
            <a:srgbClr val="4A7EB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342900</xdr:colOff>
      <xdr:row>17</xdr:row>
      <xdr:rowOff>276225</xdr:rowOff>
    </xdr:from>
    <xdr:ext cx="561975" cy="3714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069775" y="3599025"/>
          <a:ext cx="552450" cy="361950"/>
        </a:xfrm>
        <a:prstGeom prst="rightArrow">
          <a:avLst>
            <a:gd name="adj1" fmla="val 50000"/>
            <a:gd name="adj2" fmla="val 50000"/>
          </a:avLst>
        </a:prstGeom>
        <a:solidFill>
          <a:srgbClr val="C00000"/>
        </a:solidFill>
        <a:ln w="9525" cap="flat" cmpd="sng">
          <a:solidFill>
            <a:srgbClr val="4A7EB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609600</xdr:colOff>
      <xdr:row>17</xdr:row>
      <xdr:rowOff>276225</xdr:rowOff>
    </xdr:from>
    <xdr:ext cx="1028700" cy="3619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836413" y="3603788"/>
          <a:ext cx="1019175" cy="352425"/>
        </a:xfrm>
        <a:prstGeom prst="rightArrow">
          <a:avLst>
            <a:gd name="adj1" fmla="val 50000"/>
            <a:gd name="adj2" fmla="val 50000"/>
          </a:avLst>
        </a:prstGeom>
        <a:solidFill>
          <a:srgbClr val="C00000"/>
        </a:solidFill>
        <a:ln w="9525" cap="flat" cmpd="sng">
          <a:solidFill>
            <a:srgbClr val="4A7EB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266700</xdr:colOff>
      <xdr:row>66</xdr:row>
      <xdr:rowOff>66675</xdr:rowOff>
    </xdr:from>
    <xdr:ext cx="2809875" cy="2095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8812126" y="19923962"/>
          <a:ext cx="2809875" cy="2095500"/>
          <a:chOff x="3945825" y="2737013"/>
          <a:chExt cx="2800350" cy="2085975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 rot="10800000" flipH="1">
            <a:off x="3945825" y="2737013"/>
            <a:ext cx="2800350" cy="20859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</xdr:col>
      <xdr:colOff>638175</xdr:colOff>
      <xdr:row>0</xdr:row>
      <xdr:rowOff>9525</xdr:rowOff>
    </xdr:from>
    <xdr:ext cx="1105958" cy="695325"/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9242" y="9525"/>
          <a:ext cx="1105958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342900</xdr:colOff>
      <xdr:row>26</xdr:row>
      <xdr:rowOff>0</xdr:rowOff>
    </xdr:from>
    <xdr:ext cx="561975" cy="3714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709F415A-850D-46FD-9BDA-38B7E8FEC5DA}"/>
            </a:ext>
          </a:extLst>
        </xdr:cNvPr>
        <xdr:cNvSpPr/>
      </xdr:nvSpPr>
      <xdr:spPr>
        <a:xfrm>
          <a:off x="8039100" y="4187825"/>
          <a:ext cx="561975" cy="371475"/>
        </a:xfrm>
        <a:prstGeom prst="rightArrow">
          <a:avLst>
            <a:gd name="adj1" fmla="val 50000"/>
            <a:gd name="adj2" fmla="val 50000"/>
          </a:avLst>
        </a:prstGeom>
        <a:solidFill>
          <a:srgbClr val="C00000"/>
        </a:solidFill>
        <a:ln w="9525" cap="flat" cmpd="sng">
          <a:solidFill>
            <a:srgbClr val="4A7EB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609600</xdr:colOff>
      <xdr:row>26</xdr:row>
      <xdr:rowOff>0</xdr:rowOff>
    </xdr:from>
    <xdr:ext cx="1028700" cy="361950"/>
    <xdr:sp macro="" textlink="">
      <xdr:nvSpPr>
        <xdr:cNvPr id="10" name="Shape 5">
          <a:extLst>
            <a:ext uri="{FF2B5EF4-FFF2-40B4-BE49-F238E27FC236}">
              <a16:creationId xmlns:a16="http://schemas.microsoft.com/office/drawing/2014/main" id="{A988ED31-7D56-4B0D-8354-2B91ADDCAE32}"/>
            </a:ext>
          </a:extLst>
        </xdr:cNvPr>
        <xdr:cNvSpPr/>
      </xdr:nvSpPr>
      <xdr:spPr>
        <a:xfrm>
          <a:off x="12522200" y="4187825"/>
          <a:ext cx="1028700" cy="361950"/>
        </a:xfrm>
        <a:prstGeom prst="rightArrow">
          <a:avLst>
            <a:gd name="adj1" fmla="val 50000"/>
            <a:gd name="adj2" fmla="val 50000"/>
          </a:avLst>
        </a:prstGeom>
        <a:solidFill>
          <a:srgbClr val="C00000"/>
        </a:solidFill>
        <a:ln w="9525" cap="flat" cmpd="sng">
          <a:solidFill>
            <a:srgbClr val="4A7EB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954962</xdr:colOff>
      <xdr:row>71</xdr:row>
      <xdr:rowOff>9156</xdr:rowOff>
    </xdr:from>
    <xdr:ext cx="1457055" cy="614695"/>
    <xdr:pic>
      <xdr:nvPicPr>
        <xdr:cNvPr id="7" name="image15.png" title="Imagen">
          <a:extLst>
            <a:ext uri="{FF2B5EF4-FFF2-40B4-BE49-F238E27FC236}">
              <a16:creationId xmlns:a16="http://schemas.microsoft.com/office/drawing/2014/main" id="{78704999-70C5-FC44-89D7-21B470BF960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588760" y="22770706"/>
          <a:ext cx="1457055" cy="614695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925427</xdr:colOff>
      <xdr:row>72</xdr:row>
      <xdr:rowOff>39380</xdr:rowOff>
    </xdr:from>
    <xdr:ext cx="1457055" cy="614695"/>
    <xdr:pic>
      <xdr:nvPicPr>
        <xdr:cNvPr id="11" name="image15.png" title="Imagen">
          <a:extLst>
            <a:ext uri="{FF2B5EF4-FFF2-40B4-BE49-F238E27FC236}">
              <a16:creationId xmlns:a16="http://schemas.microsoft.com/office/drawing/2014/main" id="{E02FDF12-640D-064F-B1EB-7D87344ABAD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559225" y="23460543"/>
          <a:ext cx="1457055" cy="61469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161925</xdr:colOff>
      <xdr:row>0</xdr:row>
      <xdr:rowOff>38100</xdr:rowOff>
    </xdr:from>
    <xdr:ext cx="390525" cy="6572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E66" zoomScale="129" zoomScaleNormal="129" workbookViewId="0">
      <selection activeCell="I81" sqref="I81"/>
    </sheetView>
  </sheetViews>
  <sheetFormatPr baseColWidth="10" defaultColWidth="12.5" defaultRowHeight="15" customHeight="1" x14ac:dyDescent="0.15"/>
  <cols>
    <col min="1" max="1" width="2.6640625" customWidth="1"/>
    <col min="2" max="2" width="4.5" customWidth="1"/>
    <col min="3" max="3" width="17.6640625" customWidth="1"/>
    <col min="4" max="4" width="22" customWidth="1"/>
    <col min="5" max="5" width="18" customWidth="1"/>
    <col min="6" max="6" width="29" customWidth="1"/>
    <col min="7" max="7" width="18.33203125" customWidth="1"/>
    <col min="8" max="8" width="18.5" customWidth="1"/>
    <col min="9" max="9" width="27.5" customWidth="1"/>
    <col min="10" max="10" width="15.6640625" customWidth="1"/>
    <col min="11" max="11" width="17" customWidth="1"/>
    <col min="12" max="12" width="14.33203125" customWidth="1"/>
    <col min="13" max="13" width="23.33203125" customWidth="1"/>
    <col min="14" max="14" width="22.6640625" customWidth="1"/>
    <col min="15" max="15" width="21.6640625" customWidth="1"/>
    <col min="16" max="26" width="10" customWidth="1"/>
  </cols>
  <sheetData>
    <row r="1" spans="1:26" ht="12.75" customHeight="1" x14ac:dyDescent="0.15">
      <c r="A1" s="1"/>
      <c r="B1" s="95"/>
      <c r="C1" s="96"/>
      <c r="D1" s="97"/>
      <c r="E1" s="104" t="s">
        <v>0</v>
      </c>
      <c r="F1" s="96"/>
      <c r="G1" s="96"/>
      <c r="H1" s="96"/>
      <c r="I1" s="96"/>
      <c r="J1" s="96"/>
      <c r="K1" s="96"/>
      <c r="L1" s="97"/>
      <c r="M1" s="106" t="s">
        <v>1</v>
      </c>
      <c r="N1" s="108" t="s">
        <v>2</v>
      </c>
      <c r="O1" s="10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15">
      <c r="A2" s="1"/>
      <c r="B2" s="98"/>
      <c r="C2" s="99"/>
      <c r="D2" s="100"/>
      <c r="E2" s="105"/>
      <c r="F2" s="102"/>
      <c r="G2" s="102"/>
      <c r="H2" s="102"/>
      <c r="I2" s="102"/>
      <c r="J2" s="102"/>
      <c r="K2" s="102"/>
      <c r="L2" s="103"/>
      <c r="M2" s="107"/>
      <c r="N2" s="105"/>
      <c r="O2" s="110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3.75" customHeight="1" x14ac:dyDescent="0.15">
      <c r="A3" s="1"/>
      <c r="B3" s="101"/>
      <c r="C3" s="102"/>
      <c r="D3" s="103"/>
      <c r="E3" s="111" t="s">
        <v>3</v>
      </c>
      <c r="F3" s="112"/>
      <c r="G3" s="112"/>
      <c r="H3" s="112"/>
      <c r="I3" s="112"/>
      <c r="J3" s="112"/>
      <c r="K3" s="112"/>
      <c r="L3" s="113"/>
      <c r="M3" s="2" t="s">
        <v>4</v>
      </c>
      <c r="N3" s="114">
        <v>4</v>
      </c>
      <c r="O3" s="11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15">
      <c r="A4" s="1"/>
      <c r="B4" s="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4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" customHeight="1" x14ac:dyDescent="0.15">
      <c r="A5" s="61"/>
      <c r="B5" s="62"/>
      <c r="C5" s="61"/>
      <c r="D5" s="116" t="s">
        <v>85</v>
      </c>
      <c r="E5" s="117"/>
      <c r="F5" s="121" t="s">
        <v>105</v>
      </c>
      <c r="G5" s="122"/>
      <c r="H5" s="122"/>
      <c r="I5" s="122"/>
      <c r="J5" s="122"/>
      <c r="K5" s="64"/>
      <c r="L5" s="64"/>
      <c r="M5" s="61"/>
      <c r="N5" s="64" t="s">
        <v>78</v>
      </c>
      <c r="O5" s="80" t="s">
        <v>94</v>
      </c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spans="1:26" ht="25.5" customHeight="1" x14ac:dyDescent="0.15">
      <c r="A6" s="1"/>
      <c r="B6" s="3"/>
      <c r="C6" s="1"/>
      <c r="D6" s="116" t="s">
        <v>5</v>
      </c>
      <c r="E6" s="117"/>
      <c r="F6" s="118"/>
      <c r="G6" s="119"/>
      <c r="H6" s="119"/>
      <c r="I6" s="119"/>
      <c r="J6" s="120"/>
      <c r="L6" s="60" t="s">
        <v>6</v>
      </c>
      <c r="M6" s="201" t="s">
        <v>114</v>
      </c>
      <c r="N6" s="89" t="str">
        <f>IF(M6&lt;&gt;"","INACAL","")</f>
        <v>INACAL</v>
      </c>
      <c r="O6" s="89" t="str">
        <f>IF(M6&lt;&gt;"","OTORGAMIENTO","")</f>
        <v>OTORGAMIENTO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16" customHeight="1" x14ac:dyDescent="0.15">
      <c r="A7" s="61"/>
      <c r="B7" s="62"/>
      <c r="C7" s="1"/>
      <c r="E7" s="69" t="s">
        <v>86</v>
      </c>
      <c r="F7" s="171" t="s">
        <v>106</v>
      </c>
      <c r="G7" s="172"/>
      <c r="H7" s="172"/>
      <c r="I7" s="172"/>
      <c r="J7" s="172"/>
      <c r="K7" s="5"/>
      <c r="L7" s="5"/>
      <c r="M7" s="201" t="s">
        <v>115</v>
      </c>
      <c r="N7" s="89" t="str">
        <f t="shared" ref="N7:N9" si="0">IF(M7&lt;&gt;"","INACAL","")</f>
        <v>INACAL</v>
      </c>
      <c r="O7" s="89" t="str">
        <f t="shared" ref="O7:O9" si="1">IF(M7&lt;&gt;"","OTORGAMIENTO","")</f>
        <v>OTORGAMIENTO</v>
      </c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spans="1:26" ht="197" customHeight="1" x14ac:dyDescent="0.15">
      <c r="A8" s="1"/>
      <c r="B8" s="3"/>
      <c r="C8" s="1"/>
      <c r="D8" s="1"/>
      <c r="E8" s="69" t="s">
        <v>93</v>
      </c>
      <c r="F8" s="181" t="s">
        <v>107</v>
      </c>
      <c r="G8" s="182"/>
      <c r="H8" s="182"/>
      <c r="I8" s="182"/>
      <c r="J8" s="182"/>
      <c r="K8" s="7"/>
      <c r="L8" s="8"/>
      <c r="M8" s="201" t="s">
        <v>116</v>
      </c>
      <c r="N8" s="89" t="str">
        <f t="shared" si="0"/>
        <v>INACAL</v>
      </c>
      <c r="O8" s="89" t="str">
        <f t="shared" si="1"/>
        <v>OTORGAMIENTO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25" customHeight="1" x14ac:dyDescent="0.15">
      <c r="A9" s="1"/>
      <c r="B9" s="3"/>
      <c r="D9" s="116" t="s">
        <v>7</v>
      </c>
      <c r="E9" s="125"/>
      <c r="F9" s="117"/>
      <c r="G9" s="173"/>
      <c r="H9" s="173"/>
      <c r="I9" s="173"/>
      <c r="J9" s="173"/>
      <c r="K9" s="7"/>
      <c r="L9" s="5"/>
      <c r="M9" s="201" t="s">
        <v>117</v>
      </c>
      <c r="N9" s="89" t="str">
        <f t="shared" si="0"/>
        <v>INACAL</v>
      </c>
      <c r="O9" s="89" t="str">
        <f t="shared" si="1"/>
        <v>OTORGAMIENTO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" customHeight="1" x14ac:dyDescent="0.15">
      <c r="A10" s="61"/>
      <c r="B10" s="62"/>
      <c r="C10" s="61"/>
      <c r="D10" s="1"/>
      <c r="E10" s="5"/>
      <c r="F10" s="5" t="s">
        <v>79</v>
      </c>
      <c r="G10" s="174" t="s">
        <v>87</v>
      </c>
      <c r="H10" s="174"/>
      <c r="I10" s="174"/>
      <c r="J10" s="174"/>
      <c r="K10" s="7"/>
      <c r="L10" s="66"/>
      <c r="M10" s="203"/>
      <c r="N10" s="89" t="str" cm="1">
        <f t="array" ref="N10">IF(M10&lt;&gt;"",INACAL,"")</f>
        <v/>
      </c>
      <c r="O10" s="202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spans="1:26" ht="21.75" customHeight="1" x14ac:dyDescent="0.15">
      <c r="A11" s="1"/>
      <c r="B11" s="3"/>
      <c r="C11" s="1"/>
      <c r="D11" s="126" t="s">
        <v>8</v>
      </c>
      <c r="E11" s="125"/>
      <c r="F11" s="125"/>
      <c r="G11" s="125"/>
      <c r="H11" s="125"/>
      <c r="I11" s="125"/>
      <c r="J11" s="125"/>
      <c r="K11" s="125"/>
      <c r="L11" s="125"/>
      <c r="M11" s="125"/>
      <c r="N11" s="117"/>
      <c r="O11" s="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15">
      <c r="A12" s="61"/>
      <c r="B12" s="62"/>
      <c r="C12" s="61"/>
      <c r="D12" s="65"/>
      <c r="E12" s="130" t="s">
        <v>80</v>
      </c>
      <c r="F12" s="130"/>
      <c r="G12" s="65"/>
      <c r="H12" s="65"/>
      <c r="I12" s="131"/>
      <c r="J12" s="131"/>
      <c r="K12" s="131"/>
      <c r="L12" s="65"/>
      <c r="M12" s="65"/>
      <c r="N12" s="65"/>
      <c r="O12" s="63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spans="1:26" ht="29.25" customHeight="1" x14ac:dyDescent="0.15">
      <c r="A13" s="1"/>
      <c r="B13" s="3"/>
      <c r="C13" s="1"/>
      <c r="D13" s="10" t="s">
        <v>9</v>
      </c>
      <c r="E13" s="127" t="s">
        <v>108</v>
      </c>
      <c r="F13" s="120"/>
      <c r="G13" s="9"/>
      <c r="H13" s="10" t="s">
        <v>10</v>
      </c>
      <c r="I13" s="127" t="s">
        <v>109</v>
      </c>
      <c r="J13" s="120"/>
      <c r="K13" s="9"/>
      <c r="L13" s="1"/>
      <c r="M13" s="8"/>
      <c r="N13" s="1"/>
      <c r="O13" s="1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15">
      <c r="A14" s="1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4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thickBot="1" x14ac:dyDescent="0.2">
      <c r="A15" s="6"/>
      <c r="B15" s="12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13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8" customHeight="1" thickBot="1" x14ac:dyDescent="0.2">
      <c r="A16" s="1"/>
      <c r="B16" s="3"/>
      <c r="C16" s="128" t="s">
        <v>11</v>
      </c>
      <c r="D16" s="129"/>
      <c r="E16" s="1"/>
      <c r="F16" s="123" t="s">
        <v>12</v>
      </c>
      <c r="G16" s="124"/>
      <c r="H16" s="1"/>
      <c r="I16" s="123" t="s">
        <v>13</v>
      </c>
      <c r="J16" s="124"/>
      <c r="K16" s="1"/>
      <c r="L16" s="1"/>
      <c r="M16" s="123" t="s">
        <v>14</v>
      </c>
      <c r="N16" s="124"/>
      <c r="O16" s="4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15">
      <c r="A17" s="1"/>
      <c r="B17" s="3"/>
      <c r="C17" s="175" t="s">
        <v>15</v>
      </c>
      <c r="D17" s="176"/>
      <c r="E17" s="1"/>
      <c r="F17" s="177" t="s">
        <v>16</v>
      </c>
      <c r="G17" s="178"/>
      <c r="H17" s="1"/>
      <c r="I17" s="177" t="s">
        <v>17</v>
      </c>
      <c r="J17" s="178"/>
      <c r="K17" s="1"/>
      <c r="L17" s="1"/>
      <c r="M17" s="185" t="s">
        <v>18</v>
      </c>
      <c r="N17" s="186"/>
      <c r="O17" s="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7.75" customHeight="1" x14ac:dyDescent="0.15">
      <c r="A18" s="1"/>
      <c r="B18" s="3"/>
      <c r="C18" s="70"/>
      <c r="D18" s="71"/>
      <c r="E18" s="1"/>
      <c r="F18" s="67" t="s">
        <v>19</v>
      </c>
      <c r="G18" s="15" t="e">
        <f>IF(E13=0," ",+G19-75)</f>
        <v>#VALUE!</v>
      </c>
      <c r="H18" s="1"/>
      <c r="I18" s="14" t="s">
        <v>19</v>
      </c>
      <c r="J18" s="15" t="e">
        <f>IF(E13=0," ",J19-75)</f>
        <v>#VALUE!</v>
      </c>
      <c r="K18" s="1"/>
      <c r="L18" s="1"/>
      <c r="M18" s="67" t="s">
        <v>19</v>
      </c>
      <c r="N18" s="15" t="e">
        <f>IF(E13=0," ",N19-75)</f>
        <v>#VALUE!</v>
      </c>
      <c r="O18" s="4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15">
      <c r="A19" s="1"/>
      <c r="B19" s="3"/>
      <c r="C19" s="72" t="s">
        <v>9</v>
      </c>
      <c r="D19" s="73" t="e">
        <f>D20+2</f>
        <v>#VALUE!</v>
      </c>
      <c r="E19" s="1"/>
      <c r="F19" s="67" t="s">
        <v>20</v>
      </c>
      <c r="G19" s="16" t="e">
        <f>IF(I13&lt;&gt;0,I13+340,E13+340)</f>
        <v>#VALUE!</v>
      </c>
      <c r="H19" s="1"/>
      <c r="I19" s="14" t="s">
        <v>20</v>
      </c>
      <c r="J19" s="16" t="e">
        <f>IF(I13&lt;&gt;0,I13+365+340,E13+365+340)</f>
        <v>#VALUE!</v>
      </c>
      <c r="K19" s="1"/>
      <c r="L19" s="1"/>
      <c r="M19" s="67" t="s">
        <v>20</v>
      </c>
      <c r="N19" s="16" t="e">
        <f>IF(I13&lt;&gt;0,I13+365+340+365,E13+365+340)</f>
        <v>#VALUE!</v>
      </c>
      <c r="O19" s="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8.5" customHeight="1" x14ac:dyDescent="0.15">
      <c r="A20" s="1"/>
      <c r="B20" s="3"/>
      <c r="C20" s="72" t="s">
        <v>81</v>
      </c>
      <c r="D20" s="73" t="s">
        <v>110</v>
      </c>
      <c r="E20" s="1"/>
      <c r="F20" s="67" t="s">
        <v>84</v>
      </c>
      <c r="G20" s="17"/>
      <c r="H20" s="1"/>
      <c r="I20" s="14" t="s">
        <v>21</v>
      </c>
      <c r="J20" s="77"/>
      <c r="K20" s="1"/>
      <c r="L20" s="1"/>
      <c r="M20" s="67" t="s">
        <v>84</v>
      </c>
      <c r="N20" s="17"/>
      <c r="O20" s="4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8.5" customHeight="1" thickBot="1" x14ac:dyDescent="0.2">
      <c r="A21" s="1"/>
      <c r="B21" s="3"/>
      <c r="C21" s="72" t="s">
        <v>82</v>
      </c>
      <c r="D21" s="73" t="s">
        <v>108</v>
      </c>
      <c r="E21" s="1"/>
      <c r="F21" s="67"/>
      <c r="G21" s="18"/>
      <c r="H21" s="1"/>
      <c r="I21" s="14"/>
      <c r="J21" s="78"/>
      <c r="K21" s="1"/>
      <c r="L21" s="1"/>
      <c r="M21" s="67"/>
      <c r="N21" s="18"/>
      <c r="O21" s="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3.25" customHeight="1" thickBot="1" x14ac:dyDescent="0.2">
      <c r="A22" s="1"/>
      <c r="B22" s="3"/>
      <c r="C22" s="72" t="s">
        <v>83</v>
      </c>
      <c r="D22" s="94" t="s">
        <v>109</v>
      </c>
      <c r="E22" s="1"/>
      <c r="F22" s="68" t="s">
        <v>22</v>
      </c>
      <c r="G22" s="20" t="e">
        <f>IF(I13&lt;&gt;0,I13+365,E13+365)</f>
        <v>#VALUE!</v>
      </c>
      <c r="H22" s="1"/>
      <c r="I22" s="19" t="s">
        <v>22</v>
      </c>
      <c r="J22" s="20" t="e">
        <f>IF(E13=0," ",G22+365)</f>
        <v>#VALUE!</v>
      </c>
      <c r="K22" s="1"/>
      <c r="L22" s="1"/>
      <c r="M22" s="68" t="s">
        <v>22</v>
      </c>
      <c r="N22" s="21" t="e">
        <f>IF(I13&lt;&gt;0,I13+(365*3),(E13+365*3))+1</f>
        <v>#VALUE!</v>
      </c>
      <c r="O22" s="4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3.25" customHeight="1" thickBot="1" x14ac:dyDescent="0.2">
      <c r="A23" s="61"/>
      <c r="B23" s="62"/>
      <c r="C23" s="128" t="s">
        <v>89</v>
      </c>
      <c r="D23" s="129"/>
      <c r="E23" s="61"/>
      <c r="F23" s="128" t="s">
        <v>89</v>
      </c>
      <c r="G23" s="129"/>
      <c r="H23" s="61"/>
      <c r="I23" s="128" t="s">
        <v>89</v>
      </c>
      <c r="J23" s="129"/>
      <c r="K23" s="61"/>
      <c r="L23" s="61"/>
      <c r="M23" s="128" t="s">
        <v>89</v>
      </c>
      <c r="N23" s="129"/>
      <c r="O23" s="63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spans="1:26" ht="23.25" customHeight="1" x14ac:dyDescent="0.15">
      <c r="A24" s="61"/>
      <c r="B24" s="62"/>
      <c r="C24" s="74" t="s">
        <v>90</v>
      </c>
      <c r="D24" s="77" t="s">
        <v>111</v>
      </c>
      <c r="E24" s="61"/>
      <c r="F24" s="74" t="s">
        <v>90</v>
      </c>
      <c r="G24" s="75" t="s">
        <v>49</v>
      </c>
      <c r="H24" s="61"/>
      <c r="I24" s="74" t="s">
        <v>90</v>
      </c>
      <c r="J24" s="75" t="s">
        <v>49</v>
      </c>
      <c r="K24" s="61"/>
      <c r="L24" s="61"/>
      <c r="M24" s="74" t="s">
        <v>90</v>
      </c>
      <c r="N24" s="75" t="s">
        <v>49</v>
      </c>
      <c r="O24" s="63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spans="1:26" ht="13.5" customHeight="1" thickBot="1" x14ac:dyDescent="0.2">
      <c r="A25" s="1"/>
      <c r="B25" s="3"/>
      <c r="C25" s="76" t="s">
        <v>91</v>
      </c>
      <c r="D25" s="78" t="s">
        <v>112</v>
      </c>
      <c r="E25" s="1"/>
      <c r="F25" s="76" t="s">
        <v>91</v>
      </c>
      <c r="G25" s="78">
        <v>1.5</v>
      </c>
      <c r="H25" s="1"/>
      <c r="I25" s="76" t="s">
        <v>91</v>
      </c>
      <c r="J25" s="78">
        <v>1.5</v>
      </c>
      <c r="K25" s="1"/>
      <c r="L25" s="1"/>
      <c r="M25" s="76" t="s">
        <v>91</v>
      </c>
      <c r="N25" s="78">
        <v>3</v>
      </c>
      <c r="O25" s="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15">
      <c r="A26" s="61"/>
      <c r="B26" s="62"/>
      <c r="C26" s="61"/>
      <c r="D26" s="81"/>
      <c r="E26" s="61"/>
      <c r="F26" s="61"/>
      <c r="G26" s="81"/>
      <c r="H26" s="61"/>
      <c r="I26" s="61"/>
      <c r="J26" s="81"/>
      <c r="K26" s="61"/>
      <c r="L26" s="61"/>
      <c r="M26" s="61"/>
      <c r="N26" s="81"/>
      <c r="O26" s="63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spans="1:26" ht="21" customHeight="1" x14ac:dyDescent="0.15">
      <c r="A27" s="1"/>
      <c r="B27" s="3"/>
      <c r="C27" s="1"/>
      <c r="D27" s="126" t="s">
        <v>95</v>
      </c>
      <c r="E27" s="125"/>
      <c r="F27" s="125"/>
      <c r="G27" s="125"/>
      <c r="H27" s="125"/>
      <c r="I27" s="125"/>
      <c r="J27" s="125"/>
      <c r="K27" s="125"/>
      <c r="L27" s="125"/>
      <c r="M27" s="125"/>
      <c r="N27" s="117"/>
      <c r="O27" s="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15">
      <c r="A28" s="1"/>
      <c r="B28" s="3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4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15">
      <c r="A29" s="1"/>
      <c r="B29" s="3"/>
      <c r="C29" s="170" t="s">
        <v>23</v>
      </c>
      <c r="D29" s="97"/>
      <c r="E29" s="183" t="s">
        <v>24</v>
      </c>
      <c r="F29" s="104" t="s">
        <v>25</v>
      </c>
      <c r="G29" s="96"/>
      <c r="H29" s="97"/>
      <c r="I29" s="180" t="s">
        <v>26</v>
      </c>
      <c r="J29" s="179" t="s">
        <v>27</v>
      </c>
      <c r="K29" s="139"/>
      <c r="L29" s="179" t="s">
        <v>28</v>
      </c>
      <c r="M29" s="139"/>
      <c r="N29" s="160" t="s">
        <v>29</v>
      </c>
      <c r="O29" s="22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15">
      <c r="A30" s="1"/>
      <c r="B30" s="3"/>
      <c r="C30" s="101"/>
      <c r="D30" s="103"/>
      <c r="E30" s="107"/>
      <c r="F30" s="105"/>
      <c r="G30" s="102"/>
      <c r="H30" s="103"/>
      <c r="I30" s="184"/>
      <c r="J30" s="23" t="s">
        <v>30</v>
      </c>
      <c r="K30" s="23" t="s">
        <v>31</v>
      </c>
      <c r="L30" s="23" t="s">
        <v>32</v>
      </c>
      <c r="M30" s="23" t="s">
        <v>33</v>
      </c>
      <c r="N30" s="161"/>
      <c r="O30" s="22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15">
      <c r="A31" s="1"/>
      <c r="B31" s="3"/>
      <c r="C31" s="162" t="s">
        <v>96</v>
      </c>
      <c r="D31" s="113"/>
      <c r="E31" s="2" t="s">
        <v>97</v>
      </c>
      <c r="F31" s="114" t="s">
        <v>118</v>
      </c>
      <c r="G31" s="182"/>
      <c r="H31" s="187"/>
      <c r="I31" s="92" t="s">
        <v>103</v>
      </c>
      <c r="J31" s="90"/>
      <c r="K31" s="2" t="s">
        <v>99</v>
      </c>
      <c r="L31" s="2" t="s">
        <v>99</v>
      </c>
      <c r="M31" s="2" t="s">
        <v>99</v>
      </c>
      <c r="N31" s="24" t="s">
        <v>99</v>
      </c>
      <c r="O31" s="25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15">
      <c r="A32" s="1"/>
      <c r="B32" s="3"/>
      <c r="C32" s="162" t="s">
        <v>96</v>
      </c>
      <c r="D32" s="113"/>
      <c r="E32" s="2" t="s">
        <v>97</v>
      </c>
      <c r="F32" s="114" t="s">
        <v>119</v>
      </c>
      <c r="G32" s="182"/>
      <c r="H32" s="187"/>
      <c r="I32" s="92" t="s">
        <v>98</v>
      </c>
      <c r="J32" s="91"/>
      <c r="K32" s="2" t="s">
        <v>99</v>
      </c>
      <c r="L32" s="2" t="s">
        <v>99</v>
      </c>
      <c r="M32" s="2" t="s">
        <v>99</v>
      </c>
      <c r="N32" s="24" t="s">
        <v>99</v>
      </c>
      <c r="O32" s="25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15">
      <c r="A33" s="1"/>
      <c r="B33" s="3"/>
      <c r="C33" s="162" t="s">
        <v>96</v>
      </c>
      <c r="D33" s="113"/>
      <c r="E33" s="2" t="s">
        <v>97</v>
      </c>
      <c r="F33" s="114" t="s">
        <v>120</v>
      </c>
      <c r="G33" s="182"/>
      <c r="H33" s="187"/>
      <c r="I33" s="92" t="str">
        <f>IF(F33="","","4, 5, 6, 7, 8")</f>
        <v>4, 5, 6, 7, 8</v>
      </c>
      <c r="J33" s="91"/>
      <c r="K33" s="204" t="str">
        <f>IF(F33="","","x")</f>
        <v>x</v>
      </c>
      <c r="L33" s="2"/>
      <c r="M33" s="2" t="str">
        <f>IF(F33="","","x")</f>
        <v>x</v>
      </c>
      <c r="N33" s="24" t="str">
        <f>IF(F33="","","x")</f>
        <v>x</v>
      </c>
      <c r="O33" s="25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5" customHeight="1" x14ac:dyDescent="0.15">
      <c r="A34" s="1"/>
      <c r="B34" s="3"/>
      <c r="C34" s="162" t="s">
        <v>96</v>
      </c>
      <c r="D34" s="113"/>
      <c r="E34" s="2" t="s">
        <v>97</v>
      </c>
      <c r="F34" s="114" t="s">
        <v>121</v>
      </c>
      <c r="G34" s="182"/>
      <c r="H34" s="187"/>
      <c r="I34" s="92" t="str">
        <f t="shared" ref="I34:I38" si="2">IF(F34="","","4, 5, 6, 7, 8")</f>
        <v>4, 5, 6, 7, 8</v>
      </c>
      <c r="J34" s="91"/>
      <c r="K34" s="204" t="str">
        <f t="shared" ref="K34:K38" si="3">IF(F34="","","x")</f>
        <v>x</v>
      </c>
      <c r="L34" s="2" t="str">
        <f>IF(F34="","","x")</f>
        <v>x</v>
      </c>
      <c r="M34" s="2"/>
      <c r="N34" s="24" t="str">
        <f t="shared" ref="N34:N38" si="4">IF(F34="","","x")</f>
        <v>x</v>
      </c>
      <c r="O34" s="25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15">
      <c r="A35" s="1"/>
      <c r="B35" s="3"/>
      <c r="C35" s="162" t="s">
        <v>96</v>
      </c>
      <c r="D35" s="113"/>
      <c r="E35" s="2" t="s">
        <v>97</v>
      </c>
      <c r="F35" s="114" t="s">
        <v>122</v>
      </c>
      <c r="G35" s="182"/>
      <c r="H35" s="187"/>
      <c r="I35" s="92" t="str">
        <f t="shared" si="2"/>
        <v>4, 5, 6, 7, 8</v>
      </c>
      <c r="J35" s="91"/>
      <c r="K35" s="204" t="str">
        <f t="shared" si="3"/>
        <v>x</v>
      </c>
      <c r="L35" s="2" t="str">
        <f t="shared" ref="L35:L39" si="5">IF(F35="","","x")</f>
        <v>x</v>
      </c>
      <c r="M35" s="2"/>
      <c r="N35" s="24" t="str">
        <f t="shared" si="4"/>
        <v>x</v>
      </c>
      <c r="O35" s="25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15">
      <c r="A36" s="1"/>
      <c r="B36" s="3"/>
      <c r="C36" s="162" t="s">
        <v>96</v>
      </c>
      <c r="D36" s="113"/>
      <c r="E36" s="2" t="s">
        <v>97</v>
      </c>
      <c r="F36" s="114" t="s">
        <v>123</v>
      </c>
      <c r="G36" s="182"/>
      <c r="H36" s="187"/>
      <c r="I36" s="92" t="str">
        <f t="shared" si="2"/>
        <v>4, 5, 6, 7, 8</v>
      </c>
      <c r="J36" s="91"/>
      <c r="K36" s="204" t="str">
        <f t="shared" si="3"/>
        <v>x</v>
      </c>
      <c r="L36" s="2" t="str">
        <f t="shared" si="5"/>
        <v>x</v>
      </c>
      <c r="M36" s="2"/>
      <c r="N36" s="24" t="str">
        <f t="shared" si="4"/>
        <v>x</v>
      </c>
      <c r="O36" s="25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15">
      <c r="A37" s="1"/>
      <c r="B37" s="3"/>
      <c r="C37" s="162" t="s">
        <v>96</v>
      </c>
      <c r="D37" s="113"/>
      <c r="E37" s="2" t="s">
        <v>97</v>
      </c>
      <c r="F37" s="114" t="s">
        <v>124</v>
      </c>
      <c r="G37" s="182"/>
      <c r="H37" s="187"/>
      <c r="I37" s="92" t="str">
        <f t="shared" si="2"/>
        <v>4, 5, 6, 7, 8</v>
      </c>
      <c r="J37" s="26"/>
      <c r="K37" s="204" t="str">
        <f t="shared" si="3"/>
        <v>x</v>
      </c>
      <c r="L37" s="2" t="str">
        <f t="shared" si="5"/>
        <v>x</v>
      </c>
      <c r="M37" s="2"/>
      <c r="N37" s="24" t="str">
        <f t="shared" si="4"/>
        <v>x</v>
      </c>
      <c r="O37" s="25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15">
      <c r="A38" s="61"/>
      <c r="B38" s="62"/>
      <c r="C38" s="162" t="s">
        <v>96</v>
      </c>
      <c r="D38" s="113"/>
      <c r="E38" s="2" t="s">
        <v>97</v>
      </c>
      <c r="F38" s="114" t="s">
        <v>125</v>
      </c>
      <c r="G38" s="182"/>
      <c r="H38" s="187"/>
      <c r="I38" s="92" t="str">
        <f t="shared" si="2"/>
        <v>4, 5, 6, 7, 8</v>
      </c>
      <c r="J38" s="26"/>
      <c r="K38" s="204" t="str">
        <f t="shared" si="3"/>
        <v>x</v>
      </c>
      <c r="L38" s="2" t="str">
        <f t="shared" si="5"/>
        <v>x</v>
      </c>
      <c r="M38" s="2"/>
      <c r="N38" s="24" t="str">
        <f t="shared" si="4"/>
        <v>x</v>
      </c>
      <c r="O38" s="93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spans="1:26" ht="12.75" customHeight="1" x14ac:dyDescent="0.15">
      <c r="A39" s="61"/>
      <c r="B39" s="62"/>
      <c r="C39" s="162"/>
      <c r="D39" s="113"/>
      <c r="E39" s="2"/>
      <c r="F39" s="114"/>
      <c r="G39" s="182"/>
      <c r="H39" s="188"/>
      <c r="I39" s="92"/>
      <c r="J39" s="26"/>
      <c r="K39" s="2"/>
      <c r="L39" s="2"/>
      <c r="M39" s="2"/>
      <c r="N39" s="24"/>
      <c r="O39" s="93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spans="1:26" ht="12.75" customHeight="1" x14ac:dyDescent="0.15">
      <c r="A40" s="61"/>
      <c r="B40" s="62"/>
      <c r="C40" s="162"/>
      <c r="D40" s="113"/>
      <c r="E40" s="2"/>
      <c r="F40" s="114"/>
      <c r="G40" s="182"/>
      <c r="H40" s="188"/>
      <c r="I40" s="92"/>
      <c r="J40" s="26"/>
      <c r="K40" s="2"/>
      <c r="L40" s="2"/>
      <c r="M40" s="2"/>
      <c r="N40" s="24"/>
      <c r="O40" s="93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spans="1:26" ht="12.75" customHeight="1" x14ac:dyDescent="0.15">
      <c r="A41" s="1"/>
      <c r="B41" s="3"/>
      <c r="C41" s="162"/>
      <c r="D41" s="113"/>
      <c r="E41" s="2"/>
      <c r="F41" s="114"/>
      <c r="G41" s="112"/>
      <c r="H41" s="113"/>
      <c r="I41" s="92"/>
      <c r="J41" s="26"/>
      <c r="K41" s="2"/>
      <c r="L41" s="2"/>
      <c r="M41" s="2"/>
      <c r="N41" s="24"/>
      <c r="O41" s="25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thickBot="1" x14ac:dyDescent="0.2">
      <c r="A42" s="1"/>
      <c r="B42" s="3"/>
      <c r="C42" s="162"/>
      <c r="D42" s="113"/>
      <c r="E42" s="2"/>
      <c r="F42" s="140"/>
      <c r="G42" s="155"/>
      <c r="H42" s="141"/>
      <c r="I42" s="92"/>
      <c r="J42" s="27"/>
      <c r="K42" s="27"/>
      <c r="L42" s="27"/>
      <c r="M42" s="27"/>
      <c r="N42" s="28"/>
      <c r="O42" s="25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thickBot="1" x14ac:dyDescent="0.2">
      <c r="A43" s="1"/>
      <c r="B43" s="3"/>
      <c r="C43" s="7"/>
      <c r="D43" s="7"/>
      <c r="E43" s="7"/>
      <c r="F43" s="7"/>
      <c r="G43" s="7"/>
      <c r="H43" s="7"/>
      <c r="I43" s="29"/>
      <c r="J43" s="7"/>
      <c r="K43" s="7"/>
      <c r="L43" s="7"/>
      <c r="M43" s="7"/>
      <c r="N43" s="7"/>
      <c r="O43" s="25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15">
      <c r="A44" s="1"/>
      <c r="B44" s="3"/>
      <c r="C44" s="163"/>
      <c r="D44" s="164"/>
      <c r="E44" s="167"/>
      <c r="F44" s="170" t="s">
        <v>34</v>
      </c>
      <c r="G44" s="96"/>
      <c r="H44" s="97"/>
      <c r="I44" s="180" t="s">
        <v>35</v>
      </c>
      <c r="J44" s="179" t="s">
        <v>27</v>
      </c>
      <c r="K44" s="139"/>
      <c r="L44" s="179" t="s">
        <v>28</v>
      </c>
      <c r="M44" s="139"/>
      <c r="N44" s="160" t="s">
        <v>29</v>
      </c>
      <c r="O44" s="22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thickBot="1" x14ac:dyDescent="0.2">
      <c r="A45" s="1"/>
      <c r="B45" s="3"/>
      <c r="C45" s="165"/>
      <c r="D45" s="166"/>
      <c r="E45" s="168"/>
      <c r="F45" s="101"/>
      <c r="G45" s="102"/>
      <c r="H45" s="103"/>
      <c r="I45" s="107"/>
      <c r="J45" s="23" t="s">
        <v>30</v>
      </c>
      <c r="K45" s="23" t="s">
        <v>31</v>
      </c>
      <c r="L45" s="23" t="s">
        <v>32</v>
      </c>
      <c r="M45" s="23" t="s">
        <v>33</v>
      </c>
      <c r="N45" s="161"/>
      <c r="O45" s="22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 thickBot="1" x14ac:dyDescent="0.2">
      <c r="A46" s="1"/>
      <c r="B46" s="3"/>
      <c r="C46" s="158"/>
      <c r="D46" s="117"/>
      <c r="E46" s="7"/>
      <c r="F46" s="162" t="s">
        <v>36</v>
      </c>
      <c r="G46" s="112"/>
      <c r="H46" s="113"/>
      <c r="I46" s="82" t="s">
        <v>100</v>
      </c>
      <c r="J46" s="83"/>
      <c r="K46" s="84" t="s">
        <v>101</v>
      </c>
      <c r="L46" s="84" t="s">
        <v>101</v>
      </c>
      <c r="M46" s="84" t="s">
        <v>101</v>
      </c>
      <c r="N46" s="24" t="s">
        <v>101</v>
      </c>
      <c r="O46" s="25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 thickBot="1" x14ac:dyDescent="0.2">
      <c r="A47" s="1"/>
      <c r="B47" s="3"/>
      <c r="C47" s="158"/>
      <c r="D47" s="117"/>
      <c r="E47" s="7"/>
      <c r="F47" s="162" t="s">
        <v>37</v>
      </c>
      <c r="G47" s="112"/>
      <c r="H47" s="113"/>
      <c r="I47" s="85" t="s">
        <v>100</v>
      </c>
      <c r="J47" s="86" t="s">
        <v>101</v>
      </c>
      <c r="K47" s="86" t="s">
        <v>101</v>
      </c>
      <c r="L47" s="86" t="s">
        <v>101</v>
      </c>
      <c r="M47" s="86" t="s">
        <v>101</v>
      </c>
      <c r="N47" s="24" t="s">
        <v>101</v>
      </c>
      <c r="O47" s="25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 thickBot="1" x14ac:dyDescent="0.2">
      <c r="A48" s="1"/>
      <c r="B48" s="3"/>
      <c r="C48" s="158"/>
      <c r="D48" s="117"/>
      <c r="E48" s="7"/>
      <c r="F48" s="162" t="s">
        <v>88</v>
      </c>
      <c r="G48" s="112"/>
      <c r="H48" s="113"/>
      <c r="I48" s="85" t="s">
        <v>100</v>
      </c>
      <c r="J48" s="87"/>
      <c r="K48" s="86" t="s">
        <v>101</v>
      </c>
      <c r="L48" s="86" t="s">
        <v>101</v>
      </c>
      <c r="M48" s="86" t="s">
        <v>101</v>
      </c>
      <c r="N48" s="24" t="s">
        <v>101</v>
      </c>
      <c r="O48" s="25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 thickBot="1" x14ac:dyDescent="0.2">
      <c r="A49" s="1"/>
      <c r="B49" s="3"/>
      <c r="C49" s="158"/>
      <c r="D49" s="117"/>
      <c r="E49" s="7"/>
      <c r="F49" s="162" t="s">
        <v>38</v>
      </c>
      <c r="G49" s="112"/>
      <c r="H49" s="113"/>
      <c r="I49" s="85" t="s">
        <v>100</v>
      </c>
      <c r="J49" s="87"/>
      <c r="K49" s="86" t="s">
        <v>101</v>
      </c>
      <c r="L49" s="86" t="s">
        <v>101</v>
      </c>
      <c r="M49" s="86" t="s">
        <v>101</v>
      </c>
      <c r="N49" s="24" t="s">
        <v>101</v>
      </c>
      <c r="O49" s="25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 thickBot="1" x14ac:dyDescent="0.2">
      <c r="A50" s="1"/>
      <c r="B50" s="3"/>
      <c r="C50" s="158"/>
      <c r="D50" s="117"/>
      <c r="E50" s="7"/>
      <c r="F50" s="162" t="s">
        <v>39</v>
      </c>
      <c r="G50" s="112"/>
      <c r="H50" s="113"/>
      <c r="I50" s="85" t="s">
        <v>100</v>
      </c>
      <c r="J50" s="87"/>
      <c r="K50" s="87"/>
      <c r="L50" s="86" t="s">
        <v>101</v>
      </c>
      <c r="M50" s="86" t="s">
        <v>101</v>
      </c>
      <c r="N50" s="24" t="s">
        <v>101</v>
      </c>
      <c r="O50" s="25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 thickBot="1" x14ac:dyDescent="0.2">
      <c r="A51" s="1"/>
      <c r="B51" s="3"/>
      <c r="C51" s="158"/>
      <c r="D51" s="117"/>
      <c r="E51" s="7"/>
      <c r="F51" s="162" t="s">
        <v>40</v>
      </c>
      <c r="G51" s="112"/>
      <c r="H51" s="113"/>
      <c r="I51" s="85" t="s">
        <v>100</v>
      </c>
      <c r="J51" s="87"/>
      <c r="K51" s="86" t="s">
        <v>101</v>
      </c>
      <c r="L51" s="86" t="s">
        <v>101</v>
      </c>
      <c r="M51" s="86" t="s">
        <v>101</v>
      </c>
      <c r="N51" s="24" t="s">
        <v>101</v>
      </c>
      <c r="O51" s="25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 thickBot="1" x14ac:dyDescent="0.2">
      <c r="A52" s="1"/>
      <c r="B52" s="3"/>
      <c r="C52" s="7"/>
      <c r="D52" s="7"/>
      <c r="E52" s="7"/>
      <c r="F52" s="162" t="s">
        <v>41</v>
      </c>
      <c r="G52" s="112"/>
      <c r="H52" s="113"/>
      <c r="I52" s="85"/>
      <c r="J52" s="87"/>
      <c r="K52" s="86" t="s">
        <v>101</v>
      </c>
      <c r="L52" s="86" t="s">
        <v>101</v>
      </c>
      <c r="M52" s="86" t="s">
        <v>101</v>
      </c>
      <c r="N52" s="24" t="s">
        <v>101</v>
      </c>
      <c r="O52" s="25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 thickBot="1" x14ac:dyDescent="0.2">
      <c r="A53" s="1"/>
      <c r="B53" s="3"/>
      <c r="C53" s="158"/>
      <c r="D53" s="117"/>
      <c r="E53" s="7"/>
      <c r="F53" s="169" t="s">
        <v>42</v>
      </c>
      <c r="G53" s="112"/>
      <c r="H53" s="113"/>
      <c r="I53" s="85" t="s">
        <v>100</v>
      </c>
      <c r="J53" s="87"/>
      <c r="K53" s="86" t="s">
        <v>101</v>
      </c>
      <c r="L53" s="86" t="s">
        <v>101</v>
      </c>
      <c r="M53" s="86" t="s">
        <v>101</v>
      </c>
      <c r="N53" s="24" t="s">
        <v>101</v>
      </c>
      <c r="O53" s="25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 thickBot="1" x14ac:dyDescent="0.2">
      <c r="A54" s="1"/>
      <c r="B54" s="3"/>
      <c r="C54" s="158"/>
      <c r="D54" s="117"/>
      <c r="E54" s="7"/>
      <c r="F54" s="162" t="s">
        <v>43</v>
      </c>
      <c r="G54" s="112"/>
      <c r="H54" s="113"/>
      <c r="I54" s="85" t="s">
        <v>100</v>
      </c>
      <c r="J54" s="87"/>
      <c r="K54" s="86" t="s">
        <v>101</v>
      </c>
      <c r="L54" s="86" t="s">
        <v>101</v>
      </c>
      <c r="M54" s="86" t="s">
        <v>101</v>
      </c>
      <c r="N54" s="24" t="s">
        <v>101</v>
      </c>
      <c r="O54" s="25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47.25" customHeight="1" thickBot="1" x14ac:dyDescent="0.2">
      <c r="A55" s="1"/>
      <c r="B55" s="3"/>
      <c r="C55" s="7"/>
      <c r="D55" s="7"/>
      <c r="E55" s="7"/>
      <c r="F55" s="162" t="s">
        <v>44</v>
      </c>
      <c r="G55" s="112"/>
      <c r="H55" s="113"/>
      <c r="I55" s="85" t="s">
        <v>102</v>
      </c>
      <c r="J55" s="88" t="s">
        <v>101</v>
      </c>
      <c r="K55" s="88" t="s">
        <v>101</v>
      </c>
      <c r="L55" s="88" t="s">
        <v>100</v>
      </c>
      <c r="M55" s="88" t="s">
        <v>100</v>
      </c>
      <c r="N55" s="30"/>
      <c r="O55" s="25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8.5" customHeight="1" thickBot="1" x14ac:dyDescent="0.2">
      <c r="A56" s="1"/>
      <c r="B56" s="3"/>
      <c r="C56" s="158"/>
      <c r="D56" s="117"/>
      <c r="E56" s="7"/>
      <c r="F56" s="159" t="s">
        <v>45</v>
      </c>
      <c r="G56" s="155"/>
      <c r="H56" s="141"/>
      <c r="I56" s="31" t="s">
        <v>100</v>
      </c>
      <c r="J56" s="27" t="s">
        <v>101</v>
      </c>
      <c r="K56" s="27" t="s">
        <v>101</v>
      </c>
      <c r="L56" s="32"/>
      <c r="M56" s="32"/>
      <c r="N56" s="28" t="s">
        <v>101</v>
      </c>
      <c r="O56" s="25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1"/>
      <c r="B57" s="3"/>
      <c r="C57" s="7"/>
      <c r="D57" s="7"/>
      <c r="E57" s="1"/>
      <c r="F57" s="7"/>
      <c r="G57" s="7"/>
      <c r="H57" s="7"/>
      <c r="I57" s="1"/>
      <c r="J57" s="1"/>
      <c r="K57" s="1"/>
      <c r="L57" s="1"/>
      <c r="M57" s="1"/>
      <c r="N57" s="7"/>
      <c r="O57" s="25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15">
      <c r="A58" s="1"/>
      <c r="B58" s="3"/>
      <c r="C58" s="7"/>
      <c r="D58" s="7"/>
      <c r="E58" s="1"/>
      <c r="F58" s="7"/>
      <c r="G58" s="7"/>
      <c r="H58" s="7"/>
      <c r="I58" s="1"/>
      <c r="J58" s="1"/>
      <c r="K58" s="1"/>
      <c r="L58" s="1"/>
      <c r="M58" s="1"/>
      <c r="N58" s="7"/>
      <c r="O58" s="25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15">
      <c r="A59" s="1"/>
      <c r="B59" s="3"/>
      <c r="C59" s="7"/>
      <c r="D59" s="7"/>
      <c r="E59" s="1"/>
      <c r="F59" s="7"/>
      <c r="G59" s="7"/>
      <c r="H59" s="7"/>
      <c r="I59" s="1"/>
      <c r="J59" s="1"/>
      <c r="K59" s="1"/>
      <c r="L59" s="1"/>
      <c r="M59" s="1"/>
      <c r="N59" s="7"/>
      <c r="O59" s="25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58.5" customHeight="1" x14ac:dyDescent="0.15">
      <c r="A60" s="1"/>
      <c r="B60" s="3"/>
      <c r="C60" s="132" t="s">
        <v>46</v>
      </c>
      <c r="D60" s="117"/>
      <c r="E60" s="133"/>
      <c r="F60" s="112"/>
      <c r="G60" s="112"/>
      <c r="H60" s="112"/>
      <c r="I60" s="112"/>
      <c r="J60" s="112"/>
      <c r="K60" s="112"/>
      <c r="L60" s="112"/>
      <c r="M60" s="112"/>
      <c r="N60" s="113"/>
      <c r="O60" s="25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58.5" customHeight="1" x14ac:dyDescent="0.15">
      <c r="A61" s="1"/>
      <c r="B61" s="3"/>
      <c r="C61" s="132" t="s">
        <v>47</v>
      </c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17"/>
      <c r="O61" s="25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8.5" customHeight="1" x14ac:dyDescent="0.15">
      <c r="A62" s="1"/>
      <c r="B62" s="3"/>
      <c r="C62" s="33"/>
      <c r="D62" s="33"/>
      <c r="E62" s="7"/>
      <c r="F62" s="134" t="s">
        <v>48</v>
      </c>
      <c r="G62" s="136">
        <v>1</v>
      </c>
      <c r="H62" s="138" t="s">
        <v>50</v>
      </c>
      <c r="I62" s="139"/>
      <c r="J62" s="34">
        <v>0</v>
      </c>
      <c r="K62" s="7"/>
      <c r="L62" s="7"/>
      <c r="M62" s="7"/>
      <c r="N62" s="7"/>
      <c r="O62" s="25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8.5" customHeight="1" thickBot="1" x14ac:dyDescent="0.2">
      <c r="A63" s="1"/>
      <c r="B63" s="3"/>
      <c r="C63" s="33"/>
      <c r="D63" s="33"/>
      <c r="E63" s="7"/>
      <c r="F63" s="135"/>
      <c r="G63" s="137"/>
      <c r="H63" s="140" t="s">
        <v>51</v>
      </c>
      <c r="I63" s="141"/>
      <c r="J63" s="28">
        <v>0</v>
      </c>
      <c r="K63" s="79" t="s">
        <v>92</v>
      </c>
      <c r="L63" s="7"/>
      <c r="M63" s="7"/>
      <c r="N63" s="7"/>
      <c r="O63" s="25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0" customHeight="1" thickBot="1" x14ac:dyDescent="0.2">
      <c r="A64" s="1"/>
      <c r="B64" s="3"/>
      <c r="C64" s="33"/>
      <c r="D64" s="33"/>
      <c r="E64" s="7"/>
      <c r="F64" s="7"/>
      <c r="G64" s="7"/>
      <c r="H64" s="1"/>
      <c r="I64" s="1"/>
      <c r="J64" s="7"/>
      <c r="K64" s="7"/>
      <c r="L64" s="7"/>
      <c r="M64" s="7"/>
      <c r="N64" s="7"/>
      <c r="O64" s="25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0" customHeight="1" x14ac:dyDescent="0.15">
      <c r="A65" s="1"/>
      <c r="B65" s="3"/>
      <c r="C65" s="33"/>
      <c r="D65" s="33"/>
      <c r="E65" s="7"/>
      <c r="F65" s="7"/>
      <c r="G65" s="142" t="s">
        <v>52</v>
      </c>
      <c r="H65" s="143"/>
      <c r="I65" s="124"/>
      <c r="J65" s="142" t="s">
        <v>53</v>
      </c>
      <c r="K65" s="143"/>
      <c r="L65" s="143"/>
      <c r="M65" s="124"/>
      <c r="N65" s="144" t="s">
        <v>54</v>
      </c>
      <c r="O65" s="25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58.5" customHeight="1" x14ac:dyDescent="0.15">
      <c r="A66" s="1"/>
      <c r="B66" s="3"/>
      <c r="C66" s="33"/>
      <c r="D66" s="33"/>
      <c r="E66" s="7"/>
      <c r="F66" s="35" t="s">
        <v>55</v>
      </c>
      <c r="G66" s="36" t="s">
        <v>56</v>
      </c>
      <c r="H66" s="146" t="s">
        <v>57</v>
      </c>
      <c r="I66" s="147"/>
      <c r="J66" s="36" t="s">
        <v>58</v>
      </c>
      <c r="K66" s="146" t="s">
        <v>59</v>
      </c>
      <c r="L66" s="119"/>
      <c r="M66" s="147"/>
      <c r="N66" s="145"/>
      <c r="O66" s="25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43.5" customHeight="1" x14ac:dyDescent="0.15">
      <c r="A67" s="1"/>
      <c r="B67" s="3"/>
      <c r="C67" s="33"/>
      <c r="D67" s="33"/>
      <c r="E67" s="7"/>
      <c r="F67" s="37" t="s">
        <v>60</v>
      </c>
      <c r="G67" s="38">
        <f>IF($J$62="N/A","N/A",ROUNDUP(SQRT($J$62),0))</f>
        <v>0</v>
      </c>
      <c r="H67" s="114"/>
      <c r="I67" s="115"/>
      <c r="J67" s="38"/>
      <c r="K67" s="114"/>
      <c r="L67" s="112"/>
      <c r="M67" s="148"/>
      <c r="N67" s="35">
        <f t="shared" ref="N67:N70" si="6">G67+J67</f>
        <v>0</v>
      </c>
      <c r="O67" s="25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43.5" customHeight="1" x14ac:dyDescent="0.15">
      <c r="A68" s="1"/>
      <c r="B68" s="3"/>
      <c r="C68" s="33"/>
      <c r="D68" s="33"/>
      <c r="E68" s="7"/>
      <c r="F68" s="37" t="s">
        <v>61</v>
      </c>
      <c r="G68" s="38">
        <f t="shared" ref="G68:G69" si="7">IF($J$62="N/A","N/A",ROUNDUP(0.6*SQRT($J$62),0))</f>
        <v>0</v>
      </c>
      <c r="H68" s="114"/>
      <c r="I68" s="115"/>
      <c r="J68" s="38">
        <f t="shared" ref="J68:J69" si="8">IF($J$63="N/A","N/A",ROUNDUP(0.3*($J$63),0))</f>
        <v>0</v>
      </c>
      <c r="K68" s="114"/>
      <c r="L68" s="112"/>
      <c r="M68" s="148"/>
      <c r="N68" s="35">
        <f t="shared" si="6"/>
        <v>0</v>
      </c>
      <c r="O68" s="25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43.5" customHeight="1" x14ac:dyDescent="0.15">
      <c r="A69" s="1"/>
      <c r="B69" s="3"/>
      <c r="C69" s="33"/>
      <c r="D69" s="33"/>
      <c r="E69" s="7"/>
      <c r="F69" s="37" t="s">
        <v>62</v>
      </c>
      <c r="G69" s="38">
        <f t="shared" si="7"/>
        <v>0</v>
      </c>
      <c r="H69" s="114"/>
      <c r="I69" s="115"/>
      <c r="J69" s="38">
        <f t="shared" si="8"/>
        <v>0</v>
      </c>
      <c r="K69" s="114"/>
      <c r="L69" s="112"/>
      <c r="M69" s="148"/>
      <c r="N69" s="35">
        <f t="shared" si="6"/>
        <v>0</v>
      </c>
      <c r="O69" s="25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43.5" customHeight="1" x14ac:dyDescent="0.15">
      <c r="A70" s="1"/>
      <c r="B70" s="3"/>
      <c r="C70" s="33"/>
      <c r="D70" s="33"/>
      <c r="E70" s="7"/>
      <c r="F70" s="39" t="s">
        <v>63</v>
      </c>
      <c r="G70" s="40">
        <f>IF($J$62="N/A","N/A",ROUNDUP(0.8*SQRT($J$62),0))</f>
        <v>0</v>
      </c>
      <c r="H70" s="140"/>
      <c r="I70" s="149"/>
      <c r="J70" s="40">
        <f>IF($J$63="N/A","N/A",$J$63)</f>
        <v>0</v>
      </c>
      <c r="K70" s="140"/>
      <c r="L70" s="155"/>
      <c r="M70" s="156"/>
      <c r="N70" s="35">
        <f t="shared" si="6"/>
        <v>0</v>
      </c>
      <c r="O70" s="25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58.5" customHeight="1" x14ac:dyDescent="0.15">
      <c r="A71" s="1"/>
      <c r="B71" s="3"/>
      <c r="C71" s="33"/>
      <c r="D71" s="33"/>
      <c r="E71" s="7"/>
      <c r="F71" s="7"/>
      <c r="G71" s="7"/>
      <c r="H71" s="7"/>
      <c r="I71" s="7"/>
      <c r="J71" s="7"/>
      <c r="K71" s="7"/>
      <c r="L71" s="7"/>
      <c r="M71" s="7"/>
      <c r="N71" s="7"/>
      <c r="O71" s="25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52.5" customHeight="1" x14ac:dyDescent="0.15">
      <c r="A72" s="41"/>
      <c r="B72" s="42"/>
      <c r="C72" s="43"/>
      <c r="D72" s="150" t="s">
        <v>64</v>
      </c>
      <c r="E72" s="117"/>
      <c r="F72" s="44" t="s">
        <v>104</v>
      </c>
      <c r="G72" s="45"/>
      <c r="H72" s="46" t="s">
        <v>65</v>
      </c>
      <c r="I72" s="151" t="s">
        <v>113</v>
      </c>
      <c r="J72" s="119"/>
      <c r="K72" s="120"/>
      <c r="L72" s="47" t="s">
        <v>66</v>
      </c>
      <c r="M72" s="157"/>
      <c r="N72" s="120"/>
      <c r="O72" s="48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spans="1:26" ht="52.5" customHeight="1" x14ac:dyDescent="0.15">
      <c r="A73" s="41"/>
      <c r="B73" s="42"/>
      <c r="C73" s="43"/>
      <c r="D73" s="150" t="s">
        <v>67</v>
      </c>
      <c r="E73" s="117"/>
      <c r="F73" s="44" t="s">
        <v>104</v>
      </c>
      <c r="G73" s="45"/>
      <c r="H73" s="46" t="s">
        <v>65</v>
      </c>
      <c r="I73" s="152" t="str">
        <f>D22</f>
        <v>{{FECHA_EMISION_CERT}}</v>
      </c>
      <c r="J73" s="153"/>
      <c r="K73" s="154"/>
      <c r="L73" s="47" t="s">
        <v>66</v>
      </c>
      <c r="M73" s="157"/>
      <c r="N73" s="120"/>
      <c r="O73" s="48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spans="1:26" ht="13.5" customHeight="1" x14ac:dyDescent="0.15">
      <c r="A74" s="41"/>
      <c r="B74" s="42"/>
      <c r="C74" s="43"/>
      <c r="D74" s="49"/>
      <c r="E74" s="49"/>
      <c r="F74" s="49"/>
      <c r="G74" s="49"/>
      <c r="H74" s="50"/>
      <c r="I74" s="50"/>
      <c r="J74" s="51"/>
      <c r="K74" s="51"/>
      <c r="L74" s="47"/>
      <c r="M74" s="52"/>
      <c r="N74" s="52"/>
      <c r="O74" s="48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spans="1:26" ht="13.5" customHeight="1" x14ac:dyDescent="0.15">
      <c r="A75" s="1"/>
      <c r="B75" s="53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5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7">
    <mergeCell ref="M23:N23"/>
    <mergeCell ref="C49:D49"/>
    <mergeCell ref="C50:D50"/>
    <mergeCell ref="C31:D31"/>
    <mergeCell ref="C32:D32"/>
    <mergeCell ref="C33:D33"/>
    <mergeCell ref="C34:D34"/>
    <mergeCell ref="C35:D35"/>
    <mergeCell ref="C36:D36"/>
    <mergeCell ref="F31:H31"/>
    <mergeCell ref="F32:H32"/>
    <mergeCell ref="F33:H33"/>
    <mergeCell ref="F34:H34"/>
    <mergeCell ref="F35:H35"/>
    <mergeCell ref="F36:H36"/>
    <mergeCell ref="F50:H50"/>
    <mergeCell ref="L29:M29"/>
    <mergeCell ref="L44:M44"/>
    <mergeCell ref="F38:H38"/>
    <mergeCell ref="F39:H39"/>
    <mergeCell ref="F40:H40"/>
    <mergeCell ref="C38:D38"/>
    <mergeCell ref="C39:D39"/>
    <mergeCell ref="C40:D40"/>
    <mergeCell ref="F51:H51"/>
    <mergeCell ref="F52:H52"/>
    <mergeCell ref="F7:J7"/>
    <mergeCell ref="G9:J9"/>
    <mergeCell ref="G10:J10"/>
    <mergeCell ref="C23:D23"/>
    <mergeCell ref="F23:G23"/>
    <mergeCell ref="I23:J23"/>
    <mergeCell ref="C17:D17"/>
    <mergeCell ref="I17:J17"/>
    <mergeCell ref="F17:G17"/>
    <mergeCell ref="J29:K29"/>
    <mergeCell ref="C51:D51"/>
    <mergeCell ref="I44:I45"/>
    <mergeCell ref="J44:K44"/>
    <mergeCell ref="F8:J8"/>
    <mergeCell ref="I16:J16"/>
    <mergeCell ref="D27:N27"/>
    <mergeCell ref="E29:E30"/>
    <mergeCell ref="F29:H30"/>
    <mergeCell ref="I29:I30"/>
    <mergeCell ref="N29:N30"/>
    <mergeCell ref="C29:D30"/>
    <mergeCell ref="M17:N17"/>
    <mergeCell ref="C53:D53"/>
    <mergeCell ref="C54:D54"/>
    <mergeCell ref="F56:H56"/>
    <mergeCell ref="N44:N45"/>
    <mergeCell ref="C37:D37"/>
    <mergeCell ref="C41:D41"/>
    <mergeCell ref="C42:D42"/>
    <mergeCell ref="C44:D45"/>
    <mergeCell ref="E44:E45"/>
    <mergeCell ref="C46:D46"/>
    <mergeCell ref="C47:D47"/>
    <mergeCell ref="C48:D48"/>
    <mergeCell ref="C56:D56"/>
    <mergeCell ref="F53:H53"/>
    <mergeCell ref="F54:H54"/>
    <mergeCell ref="F55:H55"/>
    <mergeCell ref="F46:H46"/>
    <mergeCell ref="F47:H47"/>
    <mergeCell ref="F48:H48"/>
    <mergeCell ref="F49:H49"/>
    <mergeCell ref="F37:H37"/>
    <mergeCell ref="F41:H41"/>
    <mergeCell ref="F42:H42"/>
    <mergeCell ref="F44:H45"/>
    <mergeCell ref="H69:I69"/>
    <mergeCell ref="H70:I70"/>
    <mergeCell ref="D72:E72"/>
    <mergeCell ref="I72:K72"/>
    <mergeCell ref="D73:E73"/>
    <mergeCell ref="I73:K73"/>
    <mergeCell ref="K68:M68"/>
    <mergeCell ref="K69:M69"/>
    <mergeCell ref="K70:M70"/>
    <mergeCell ref="M72:N72"/>
    <mergeCell ref="M73:N73"/>
    <mergeCell ref="C60:D60"/>
    <mergeCell ref="E60:N60"/>
    <mergeCell ref="C61:N61"/>
    <mergeCell ref="F62:F63"/>
    <mergeCell ref="G62:G63"/>
    <mergeCell ref="H62:I62"/>
    <mergeCell ref="H67:I67"/>
    <mergeCell ref="H68:I68"/>
    <mergeCell ref="H63:I63"/>
    <mergeCell ref="G65:I65"/>
    <mergeCell ref="J65:M65"/>
    <mergeCell ref="N65:N66"/>
    <mergeCell ref="H66:I66"/>
    <mergeCell ref="K66:M66"/>
    <mergeCell ref="K67:M67"/>
    <mergeCell ref="M16:N16"/>
    <mergeCell ref="F16:G16"/>
    <mergeCell ref="D9:F9"/>
    <mergeCell ref="D11:N11"/>
    <mergeCell ref="E13:F13"/>
    <mergeCell ref="I13:J13"/>
    <mergeCell ref="C16:D16"/>
    <mergeCell ref="E12:F12"/>
    <mergeCell ref="I12:K12"/>
    <mergeCell ref="B1:D3"/>
    <mergeCell ref="E1:L2"/>
    <mergeCell ref="M1:M2"/>
    <mergeCell ref="N1:O2"/>
    <mergeCell ref="E3:L3"/>
    <mergeCell ref="N3:O3"/>
    <mergeCell ref="D6:E6"/>
    <mergeCell ref="F6:J6"/>
    <mergeCell ref="D5:E5"/>
    <mergeCell ref="F5:J5"/>
  </mergeCells>
  <phoneticPr fontId="19" type="noConversion"/>
  <dataValidations disablePrompts="1" count="6">
    <dataValidation type="list" allowBlank="1" showInputMessage="1" showErrorMessage="1" prompt=" - " sqref="E57:E59 E31:E43" xr:uid="{00000000-0002-0000-0000-000001000000}">
      <formula1>"DIURNO,NOCTURNO"</formula1>
    </dataValidation>
    <dataValidation type="list" allowBlank="1" showInputMessage="1" showErrorMessage="1" prompt=" - " sqref="E46:E56" xr:uid="{00000000-0002-0000-0000-000002000000}">
      <formula1>"DIURNO,NOCTURNO,NA"</formula1>
    </dataValidation>
    <dataValidation type="list" allowBlank="1" showInputMessage="1" showErrorMessage="1" prompt=" - " sqref="G9" xr:uid="{00000000-0002-0000-0000-000004000000}">
      <formula1>"NO APLICA (NA),PROCEDE MUESTREO,MUESTREO PARCIAL"</formula1>
    </dataValidation>
    <dataValidation type="list" allowBlank="1" showInputMessage="1" showErrorMessage="1" prompt=" - " sqref="M10" xr:uid="{11153AD5-C4B8-4402-B47D-02689AA6B73E}">
      <formula1>"ISO 370001:2016,ISO 9001:2015,ISO 45001:2018,ISO 14001:2015,ISO 50001:2018"</formula1>
    </dataValidation>
    <dataValidation type="list" allowBlank="1" showInputMessage="1" showErrorMessage="1" prompt=" - " sqref="G10" xr:uid="{1764D25B-67AB-4B23-8DE8-763D8881C14F}">
      <formula1>"ANUAL,SEMESTRAL, ESPECIAL"</formula1>
    </dataValidation>
    <dataValidation type="list" allowBlank="1" showInputMessage="1" showErrorMessage="1" sqref="O10" xr:uid="{98B2C31F-748C-4EAA-8BE3-F168D18DE2DF}">
      <formula1>"OTORGAMIENTO, SEGUIMIENTO, RECERTIFICACIÓN, MODIFICACIÓN DE ALCANCE, ESPECIAL"</formula1>
    </dataValidation>
  </dataValidations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E13" sqref="E13"/>
    </sheetView>
  </sheetViews>
  <sheetFormatPr baseColWidth="10" defaultColWidth="12.5" defaultRowHeight="15" customHeight="1" x14ac:dyDescent="0.15"/>
  <cols>
    <col min="1" max="1" width="5.6640625" customWidth="1"/>
    <col min="2" max="2" width="10.5" customWidth="1"/>
    <col min="3" max="3" width="44.33203125" customWidth="1"/>
    <col min="4" max="4" width="22.6640625" customWidth="1"/>
    <col min="5" max="5" width="27.5" customWidth="1"/>
    <col min="6" max="6" width="15.6640625" customWidth="1"/>
    <col min="7" max="26" width="10" customWidth="1"/>
  </cols>
  <sheetData>
    <row r="1" spans="1:26" ht="59.25" customHeight="1" x14ac:dyDescent="0.2">
      <c r="A1" s="56"/>
      <c r="B1" s="57"/>
      <c r="C1" s="190" t="s">
        <v>68</v>
      </c>
      <c r="D1" s="96"/>
      <c r="E1" s="96"/>
      <c r="F1" s="109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57.75" customHeight="1" x14ac:dyDescent="0.2">
      <c r="A2" s="56"/>
      <c r="B2" s="58">
        <v>1</v>
      </c>
      <c r="C2" s="59" t="s">
        <v>69</v>
      </c>
      <c r="D2" s="191" t="s">
        <v>70</v>
      </c>
      <c r="E2" s="143"/>
      <c r="F2" s="124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ht="32.25" customHeight="1" x14ac:dyDescent="0.2">
      <c r="A3" s="56"/>
      <c r="B3" s="192">
        <v>2</v>
      </c>
      <c r="C3" s="195" t="s">
        <v>71</v>
      </c>
      <c r="D3" s="197" t="s">
        <v>72</v>
      </c>
      <c r="E3" s="102"/>
      <c r="F3" s="110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spans="1:26" ht="31.5" customHeight="1" x14ac:dyDescent="0.2">
      <c r="A4" s="56"/>
      <c r="B4" s="193"/>
      <c r="C4" s="196"/>
      <c r="D4" s="189" t="s">
        <v>73</v>
      </c>
      <c r="E4" s="112"/>
      <c r="F4" s="115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spans="1:26" ht="45" customHeight="1" x14ac:dyDescent="0.2">
      <c r="A5" s="56"/>
      <c r="B5" s="193"/>
      <c r="C5" s="196"/>
      <c r="D5" s="189" t="s">
        <v>74</v>
      </c>
      <c r="E5" s="112"/>
      <c r="F5" s="115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spans="1:26" ht="30" customHeight="1" x14ac:dyDescent="0.2">
      <c r="A6" s="56"/>
      <c r="B6" s="193"/>
      <c r="C6" s="196"/>
      <c r="D6" s="189" t="s">
        <v>75</v>
      </c>
      <c r="E6" s="112"/>
      <c r="F6" s="115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spans="1:26" ht="30" customHeight="1" x14ac:dyDescent="0.2">
      <c r="A7" s="56"/>
      <c r="B7" s="193"/>
      <c r="C7" s="196"/>
      <c r="D7" s="189" t="s">
        <v>76</v>
      </c>
      <c r="E7" s="112"/>
      <c r="F7" s="115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spans="1:26" ht="34.5" customHeight="1" x14ac:dyDescent="0.2">
      <c r="A8" s="56"/>
      <c r="B8" s="194"/>
      <c r="C8" s="135"/>
      <c r="D8" s="198" t="s">
        <v>77</v>
      </c>
      <c r="E8" s="199"/>
      <c r="F8" s="200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spans="1:26" ht="14.25" customHeight="1" x14ac:dyDescent="0.2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14.25" customHeight="1" x14ac:dyDescent="0.2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spans="1:26" ht="14.25" customHeight="1" x14ac:dyDescent="0.2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spans="1:26" ht="14.25" customHeight="1" x14ac:dyDescent="0.2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spans="1:26" ht="14.25" customHeight="1" x14ac:dyDescent="0.2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spans="1:26" ht="14.25" customHeight="1" x14ac:dyDescent="0.2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spans="1:26" ht="14.25" customHeight="1" x14ac:dyDescent="0.2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spans="1:26" ht="14.25" customHeight="1" x14ac:dyDescent="0.2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14.25" customHeight="1" x14ac:dyDescent="0.2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spans="1:26" ht="14.25" customHeight="1" x14ac:dyDescent="0.2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spans="1:26" ht="14.25" customHeight="1" x14ac:dyDescent="0.2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spans="1:26" ht="14.25" customHeight="1" x14ac:dyDescent="0.2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spans="1:26" ht="14.25" customHeight="1" x14ac:dyDescent="0.2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spans="1:26" ht="14.25" customHeight="1" x14ac:dyDescent="0.2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spans="1:26" ht="14.25" customHeight="1" x14ac:dyDescent="0.2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spans="1:26" ht="14.25" customHeight="1" x14ac:dyDescent="0.2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spans="1:26" ht="14.25" customHeight="1" x14ac:dyDescent="0.2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spans="1:26" ht="14.25" customHeight="1" x14ac:dyDescent="0.2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spans="1:26" ht="14.25" customHeight="1" x14ac:dyDescent="0.2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spans="1:26" ht="14.25" customHeight="1" x14ac:dyDescent="0.2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spans="1:26" ht="14.25" customHeight="1" x14ac:dyDescent="0.2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spans="1:26" ht="14.25" customHeight="1" x14ac:dyDescent="0.2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spans="1:26" ht="14.25" customHeight="1" x14ac:dyDescent="0.2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spans="1:26" ht="14.25" customHeight="1" x14ac:dyDescent="0.2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spans="1:26" ht="14.25" customHeight="1" x14ac:dyDescent="0.2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spans="1:26" ht="14.25" customHeight="1" x14ac:dyDescent="0.2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spans="1:26" ht="14.25" customHeight="1" x14ac:dyDescent="0.2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spans="1:26" ht="14.25" customHeight="1" x14ac:dyDescent="0.2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spans="1:26" ht="14.25" customHeight="1" x14ac:dyDescent="0.2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6" ht="14.25" customHeight="1" x14ac:dyDescent="0.2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spans="1:26" ht="14.25" customHeight="1" x14ac:dyDescent="0.2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spans="1:26" ht="14.25" customHeight="1" x14ac:dyDescent="0.2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spans="1:26" ht="14.25" customHeight="1" x14ac:dyDescent="0.2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spans="1:26" ht="14.25" customHeight="1" x14ac:dyDescent="0.2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spans="1:26" ht="14.25" customHeight="1" x14ac:dyDescent="0.2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spans="1:26" ht="14.25" customHeight="1" x14ac:dyDescent="0.2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26" ht="14.25" customHeight="1" x14ac:dyDescent="0.2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spans="1:26" ht="14.25" customHeight="1" x14ac:dyDescent="0.2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spans="1:26" ht="14.25" customHeight="1" x14ac:dyDescent="0.2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spans="1:26" ht="14.25" customHeight="1" x14ac:dyDescent="0.2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spans="1:26" ht="14.25" customHeight="1" x14ac:dyDescent="0.2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spans="1:26" ht="14.25" customHeight="1" x14ac:dyDescent="0.2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spans="1:26" ht="14.25" customHeight="1" x14ac:dyDescent="0.2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spans="1:26" ht="14.25" customHeight="1" x14ac:dyDescent="0.2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spans="1:26" ht="14.25" customHeight="1" x14ac:dyDescent="0.2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spans="1:26" ht="14.25" customHeight="1" x14ac:dyDescent="0.2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spans="1:26" ht="14.25" customHeight="1" x14ac:dyDescent="0.2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spans="1:26" ht="14.25" customHeight="1" x14ac:dyDescent="0.2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spans="1:26" ht="14.25" customHeight="1" x14ac:dyDescent="0.2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spans="1:26" ht="14.25" customHeight="1" x14ac:dyDescent="0.2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spans="1:26" ht="14.25" customHeight="1" x14ac:dyDescent="0.2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spans="1:26" ht="14.25" customHeight="1" x14ac:dyDescent="0.2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spans="1:26" ht="14.25" customHeight="1" x14ac:dyDescent="0.2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spans="1:26" ht="14.25" customHeight="1" x14ac:dyDescent="0.2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spans="1:26" ht="14.25" customHeight="1" x14ac:dyDescent="0.2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spans="1:26" ht="14.25" customHeight="1" x14ac:dyDescent="0.2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spans="1:26" ht="14.25" customHeight="1" x14ac:dyDescent="0.2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spans="1:26" ht="14.25" customHeight="1" x14ac:dyDescent="0.2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spans="1:26" ht="14.25" customHeight="1" x14ac:dyDescent="0.2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spans="1:26" ht="14.25" customHeight="1" x14ac:dyDescent="0.2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spans="1:26" ht="14.25" customHeight="1" x14ac:dyDescent="0.2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spans="1:26" ht="14.25" customHeight="1" x14ac:dyDescent="0.2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spans="1:26" ht="14.25" customHeight="1" x14ac:dyDescent="0.2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spans="1:26" ht="14.25" customHeight="1" x14ac:dyDescent="0.2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spans="1:26" ht="14.25" customHeight="1" x14ac:dyDescent="0.2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spans="1:26" ht="14.25" customHeight="1" x14ac:dyDescent="0.2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spans="1:26" ht="14.25" customHeight="1" x14ac:dyDescent="0.2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spans="1:26" ht="14.25" customHeight="1" x14ac:dyDescent="0.2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spans="1:26" ht="14.25" customHeight="1" x14ac:dyDescent="0.2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spans="1:26" ht="14.25" customHeight="1" x14ac:dyDescent="0.2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spans="1:26" ht="14.25" customHeight="1" x14ac:dyDescent="0.2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spans="1:26" ht="14.25" customHeight="1" x14ac:dyDescent="0.2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spans="1:26" ht="14.25" customHeight="1" x14ac:dyDescent="0.2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spans="1:26" ht="14.25" customHeight="1" x14ac:dyDescent="0.2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spans="1:26" ht="14.25" customHeight="1" x14ac:dyDescent="0.2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spans="1:26" ht="14.25" customHeight="1" x14ac:dyDescent="0.2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spans="1:26" ht="14.25" customHeight="1" x14ac:dyDescent="0.2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spans="1:26" ht="14.25" customHeight="1" x14ac:dyDescent="0.2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spans="1:26" ht="14.25" customHeight="1" x14ac:dyDescent="0.2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spans="1:26" ht="14.25" customHeight="1" x14ac:dyDescent="0.2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spans="1:26" ht="14.25" customHeight="1" x14ac:dyDescent="0.2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spans="1:26" ht="14.25" customHeight="1" x14ac:dyDescent="0.2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spans="1:26" ht="14.25" customHeight="1" x14ac:dyDescent="0.2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spans="1:26" ht="14.25" customHeight="1" x14ac:dyDescent="0.2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spans="1:26" ht="14.25" customHeight="1" x14ac:dyDescent="0.2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spans="1:26" ht="14.25" customHeight="1" x14ac:dyDescent="0.2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spans="1:26" ht="14.25" customHeight="1" x14ac:dyDescent="0.2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spans="1:26" ht="14.25" customHeight="1" x14ac:dyDescent="0.2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spans="1:26" ht="14.25" customHeight="1" x14ac:dyDescent="0.2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spans="1:26" ht="14.25" customHeight="1" x14ac:dyDescent="0.2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spans="1:26" ht="14.25" customHeight="1" x14ac:dyDescent="0.2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spans="1:26" ht="14.25" customHeight="1" x14ac:dyDescent="0.2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spans="1:26" ht="14.25" customHeight="1" x14ac:dyDescent="0.2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spans="1:26" ht="14.25" customHeight="1" x14ac:dyDescent="0.2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spans="1:26" ht="14.25" customHeight="1" x14ac:dyDescent="0.2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spans="1:26" ht="14.25" customHeight="1" x14ac:dyDescent="0.2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spans="1:26" ht="14.25" customHeight="1" x14ac:dyDescent="0.2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spans="1:26" ht="14.25" customHeight="1" x14ac:dyDescent="0.2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spans="1:26" ht="14.25" customHeight="1" x14ac:dyDescent="0.2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spans="1:26" ht="14.25" customHeight="1" x14ac:dyDescent="0.2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spans="1:26" ht="14.25" customHeight="1" x14ac:dyDescent="0.2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spans="1:26" ht="14.25" customHeight="1" x14ac:dyDescent="0.2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spans="1:26" ht="14.25" customHeight="1" x14ac:dyDescent="0.2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spans="1:26" ht="14.25" customHeight="1" x14ac:dyDescent="0.2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spans="1:26" ht="14.25" customHeight="1" x14ac:dyDescent="0.2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spans="1:26" ht="14.25" customHeight="1" x14ac:dyDescent="0.2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spans="1:26" ht="14.25" customHeight="1" x14ac:dyDescent="0.2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spans="1:26" ht="14.25" customHeight="1" x14ac:dyDescent="0.2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spans="1:26" ht="14.25" customHeight="1" x14ac:dyDescent="0.2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spans="1:26" ht="14.25" customHeight="1" x14ac:dyDescent="0.2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spans="1:26" ht="14.25" customHeight="1" x14ac:dyDescent="0.2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spans="1:26" ht="14.25" customHeight="1" x14ac:dyDescent="0.2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spans="1:26" ht="14.25" customHeight="1" x14ac:dyDescent="0.2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spans="1:26" ht="14.25" customHeight="1" x14ac:dyDescent="0.2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spans="1:26" ht="14.25" customHeight="1" x14ac:dyDescent="0.2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spans="1:26" ht="14.25" customHeight="1" x14ac:dyDescent="0.2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spans="1:26" ht="14.25" customHeight="1" x14ac:dyDescent="0.2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spans="1:26" ht="14.25" customHeight="1" x14ac:dyDescent="0.2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spans="1:26" ht="14.25" customHeight="1" x14ac:dyDescent="0.2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spans="1:26" ht="14.25" customHeight="1" x14ac:dyDescent="0.2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spans="1:26" ht="14.25" customHeight="1" x14ac:dyDescent="0.2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spans="1:26" ht="14.25" customHeight="1" x14ac:dyDescent="0.2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spans="1:26" ht="14.25" customHeight="1" x14ac:dyDescent="0.2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spans="1:26" ht="14.25" customHeight="1" x14ac:dyDescent="0.2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spans="1:26" ht="14.25" customHeight="1" x14ac:dyDescent="0.2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spans="1:26" ht="14.25" customHeight="1" x14ac:dyDescent="0.2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spans="1:26" ht="14.25" customHeight="1" x14ac:dyDescent="0.2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spans="1:26" ht="14.25" customHeight="1" x14ac:dyDescent="0.2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spans="1:26" ht="14.25" customHeight="1" x14ac:dyDescent="0.2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spans="1:26" ht="14.25" customHeight="1" x14ac:dyDescent="0.2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spans="1:26" ht="14.25" customHeight="1" x14ac:dyDescent="0.2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spans="1:26" ht="14.25" customHeight="1" x14ac:dyDescent="0.2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spans="1:26" ht="14.25" customHeight="1" x14ac:dyDescent="0.2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spans="1:26" ht="14.25" customHeight="1" x14ac:dyDescent="0.2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spans="1:26" ht="14.25" customHeight="1" x14ac:dyDescent="0.2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spans="1:26" ht="14.25" customHeight="1" x14ac:dyDescent="0.2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spans="1:26" ht="14.25" customHeight="1" x14ac:dyDescent="0.2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spans="1:26" ht="14.25" customHeight="1" x14ac:dyDescent="0.2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spans="1:26" ht="14.25" customHeight="1" x14ac:dyDescent="0.2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spans="1:26" ht="14.25" customHeight="1" x14ac:dyDescent="0.2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spans="1:26" ht="14.25" customHeight="1" x14ac:dyDescent="0.2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spans="1:26" ht="14.25" customHeight="1" x14ac:dyDescent="0.2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spans="1:26" ht="14.25" customHeight="1" x14ac:dyDescent="0.2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spans="1:26" ht="14.25" customHeight="1" x14ac:dyDescent="0.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spans="1:26" ht="14.25" customHeight="1" x14ac:dyDescent="0.2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spans="1:26" ht="14.25" customHeight="1" x14ac:dyDescent="0.2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spans="1:26" ht="14.25" customHeight="1" x14ac:dyDescent="0.2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spans="1:26" ht="14.25" customHeight="1" x14ac:dyDescent="0.2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spans="1:26" ht="14.25" customHeight="1" x14ac:dyDescent="0.2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spans="1:26" ht="14.25" customHeight="1" x14ac:dyDescent="0.2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spans="1:26" ht="14.25" customHeight="1" x14ac:dyDescent="0.2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spans="1:26" ht="14.25" customHeight="1" x14ac:dyDescent="0.2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spans="1:26" ht="14.25" customHeight="1" x14ac:dyDescent="0.2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spans="1:26" ht="14.25" customHeight="1" x14ac:dyDescent="0.2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spans="1:26" ht="14.25" customHeight="1" x14ac:dyDescent="0.2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spans="1:26" ht="14.25" customHeight="1" x14ac:dyDescent="0.2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spans="1:26" ht="14.25" customHeight="1" x14ac:dyDescent="0.2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spans="1:26" ht="14.25" customHeight="1" x14ac:dyDescent="0.2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spans="1:26" ht="14.25" customHeight="1" x14ac:dyDescent="0.2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spans="1:26" ht="14.25" customHeight="1" x14ac:dyDescent="0.2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spans="1:26" ht="14.25" customHeight="1" x14ac:dyDescent="0.2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spans="1:26" ht="14.25" customHeight="1" x14ac:dyDescent="0.2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spans="1:26" ht="14.25" customHeight="1" x14ac:dyDescent="0.2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spans="1:26" ht="14.25" customHeight="1" x14ac:dyDescent="0.2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spans="1:26" ht="14.25" customHeight="1" x14ac:dyDescent="0.2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spans="1:26" ht="14.25" customHeight="1" x14ac:dyDescent="0.2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spans="1:26" ht="14.25" customHeight="1" x14ac:dyDescent="0.2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spans="1:26" ht="14.25" customHeight="1" x14ac:dyDescent="0.2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spans="1:26" ht="14.25" customHeight="1" x14ac:dyDescent="0.2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spans="1:26" ht="14.25" customHeight="1" x14ac:dyDescent="0.2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spans="1:26" ht="14.25" customHeight="1" x14ac:dyDescent="0.2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spans="1:26" ht="14.25" customHeight="1" x14ac:dyDescent="0.2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spans="1:26" ht="14.25" customHeight="1" x14ac:dyDescent="0.2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spans="1:26" ht="14.25" customHeight="1" x14ac:dyDescent="0.2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spans="1:26" ht="14.25" customHeight="1" x14ac:dyDescent="0.2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spans="1:26" ht="14.25" customHeight="1" x14ac:dyDescent="0.2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spans="1:26" ht="14.25" customHeight="1" x14ac:dyDescent="0.2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spans="1:26" ht="14.25" customHeight="1" x14ac:dyDescent="0.2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spans="1:26" ht="14.25" customHeight="1" x14ac:dyDescent="0.2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spans="1:26" ht="14.25" customHeight="1" x14ac:dyDescent="0.2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spans="1:26" ht="14.25" customHeight="1" x14ac:dyDescent="0.2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spans="1:26" ht="14.25" customHeight="1" x14ac:dyDescent="0.2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spans="1:26" ht="14.25" customHeight="1" x14ac:dyDescent="0.2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spans="1:26" ht="14.25" customHeight="1" x14ac:dyDescent="0.2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spans="1:26" ht="14.25" customHeight="1" x14ac:dyDescent="0.2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spans="1:26" ht="14.25" customHeight="1" x14ac:dyDescent="0.2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spans="1:26" ht="14.25" customHeight="1" x14ac:dyDescent="0.2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spans="1:26" ht="14.25" customHeight="1" x14ac:dyDescent="0.2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spans="1:26" ht="14.25" customHeight="1" x14ac:dyDescent="0.2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spans="1:26" ht="14.25" customHeight="1" x14ac:dyDescent="0.2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spans="1:26" ht="14.25" customHeight="1" x14ac:dyDescent="0.2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spans="1:26" ht="14.25" customHeight="1" x14ac:dyDescent="0.2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spans="1:26" ht="14.25" customHeight="1" x14ac:dyDescent="0.2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spans="1:26" ht="14.25" customHeight="1" x14ac:dyDescent="0.2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spans="1:26" ht="14.25" customHeight="1" x14ac:dyDescent="0.2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spans="1:26" ht="14.25" customHeight="1" x14ac:dyDescent="0.2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spans="1:26" ht="14.25" customHeight="1" x14ac:dyDescent="0.2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spans="1:26" ht="14.25" customHeight="1" x14ac:dyDescent="0.2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spans="1:26" ht="14.25" customHeight="1" x14ac:dyDescent="0.2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spans="1:26" ht="14.25" customHeight="1" x14ac:dyDescent="0.2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spans="1:26" ht="14.25" customHeight="1" x14ac:dyDescent="0.2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spans="1:26" ht="14.25" customHeight="1" x14ac:dyDescent="0.2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spans="1:26" ht="14.25" customHeight="1" x14ac:dyDescent="0.2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spans="1:26" ht="14.25" customHeight="1" x14ac:dyDescent="0.2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spans="1:26" ht="14.25" customHeight="1" x14ac:dyDescent="0.2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spans="1:26" ht="14.25" customHeight="1" x14ac:dyDescent="0.2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spans="1:26" ht="14.25" customHeight="1" x14ac:dyDescent="0.2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spans="1:26" ht="14.25" customHeight="1" x14ac:dyDescent="0.2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spans="1:26" ht="14.25" customHeight="1" x14ac:dyDescent="0.2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spans="1:26" ht="14.25" customHeight="1" x14ac:dyDescent="0.2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spans="1:26" ht="14.25" customHeight="1" x14ac:dyDescent="0.2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spans="1:26" ht="14.25" customHeight="1" x14ac:dyDescent="0.2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spans="1:26" ht="14.25" customHeight="1" x14ac:dyDescent="0.2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spans="1:26" ht="14.25" customHeight="1" x14ac:dyDescent="0.2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spans="1:26" ht="14.25" customHeight="1" x14ac:dyDescent="0.2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spans="1:26" ht="14.25" customHeight="1" x14ac:dyDescent="0.2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spans="1:26" ht="14.25" customHeight="1" x14ac:dyDescent="0.2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spans="1:26" ht="14.25" customHeight="1" x14ac:dyDescent="0.2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spans="1:26" ht="14.25" customHeight="1" x14ac:dyDescent="0.2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spans="1:26" ht="14.25" customHeight="1" x14ac:dyDescent="0.2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spans="1:26" ht="14.25" customHeight="1" x14ac:dyDescent="0.2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spans="1:26" ht="14.25" customHeight="1" x14ac:dyDescent="0.2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spans="1:26" ht="14.25" customHeight="1" x14ac:dyDescent="0.2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spans="1:26" ht="14.25" customHeight="1" x14ac:dyDescent="0.2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spans="1:26" ht="14.25" customHeight="1" x14ac:dyDescent="0.2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spans="1:26" ht="14.25" customHeight="1" x14ac:dyDescent="0.2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spans="1:26" ht="14.25" customHeight="1" x14ac:dyDescent="0.2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spans="1:26" ht="14.25" customHeight="1" x14ac:dyDescent="0.2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spans="1:26" ht="14.25" customHeight="1" x14ac:dyDescent="0.2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spans="1:26" ht="14.25" customHeight="1" x14ac:dyDescent="0.2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spans="1:26" ht="14.25" customHeight="1" x14ac:dyDescent="0.2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spans="1:26" ht="14.25" customHeight="1" x14ac:dyDescent="0.2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spans="1:26" ht="14.25" customHeight="1" x14ac:dyDescent="0.2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spans="1:26" ht="14.25" customHeight="1" x14ac:dyDescent="0.2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spans="1:26" ht="14.25" customHeight="1" x14ac:dyDescent="0.2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spans="1:26" ht="14.25" customHeight="1" x14ac:dyDescent="0.2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spans="1:26" ht="14.25" customHeight="1" x14ac:dyDescent="0.2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spans="1:26" ht="14.25" customHeight="1" x14ac:dyDescent="0.2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spans="1:26" ht="14.25" customHeight="1" x14ac:dyDescent="0.2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spans="1:26" ht="14.25" customHeight="1" x14ac:dyDescent="0.2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spans="1:26" ht="14.25" customHeight="1" x14ac:dyDescent="0.2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spans="1:26" ht="14.25" customHeight="1" x14ac:dyDescent="0.2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spans="1:26" ht="14.25" customHeight="1" x14ac:dyDescent="0.2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spans="1:26" ht="14.25" customHeight="1" x14ac:dyDescent="0.2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spans="1:26" ht="14.25" customHeight="1" x14ac:dyDescent="0.2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spans="1:26" ht="14.25" customHeight="1" x14ac:dyDescent="0.2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spans="1:26" ht="14.25" customHeight="1" x14ac:dyDescent="0.2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spans="1:26" ht="14.25" customHeight="1" x14ac:dyDescent="0.2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spans="1:26" ht="14.25" customHeight="1" x14ac:dyDescent="0.2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spans="1:26" ht="14.25" customHeight="1" x14ac:dyDescent="0.2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spans="1:26" ht="14.25" customHeight="1" x14ac:dyDescent="0.2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spans="1:26" ht="14.25" customHeight="1" x14ac:dyDescent="0.2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spans="1:26" ht="14.25" customHeight="1" x14ac:dyDescent="0.2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spans="1:26" ht="14.25" customHeight="1" x14ac:dyDescent="0.2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spans="1:26" ht="14.25" customHeight="1" x14ac:dyDescent="0.2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spans="1:26" ht="14.25" customHeight="1" x14ac:dyDescent="0.2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spans="1:26" ht="14.25" customHeight="1" x14ac:dyDescent="0.2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spans="1:26" ht="14.25" customHeight="1" x14ac:dyDescent="0.2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spans="1:26" ht="14.25" customHeight="1" x14ac:dyDescent="0.2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spans="1:26" ht="14.25" customHeight="1" x14ac:dyDescent="0.2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spans="1:26" ht="14.25" customHeight="1" x14ac:dyDescent="0.2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spans="1:26" ht="14.25" customHeight="1" x14ac:dyDescent="0.2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spans="1:26" ht="14.25" customHeight="1" x14ac:dyDescent="0.2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spans="1:26" ht="14.25" customHeight="1" x14ac:dyDescent="0.2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spans="1:26" ht="14.25" customHeight="1" x14ac:dyDescent="0.2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spans="1:26" ht="14.25" customHeight="1" x14ac:dyDescent="0.2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spans="1:26" ht="14.25" customHeight="1" x14ac:dyDescent="0.2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spans="1:26" ht="14.25" customHeight="1" x14ac:dyDescent="0.2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spans="1:26" ht="14.25" customHeight="1" x14ac:dyDescent="0.2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spans="1:26" ht="14.25" customHeight="1" x14ac:dyDescent="0.2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spans="1:26" ht="14.25" customHeight="1" x14ac:dyDescent="0.2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spans="1:26" ht="14.25" customHeight="1" x14ac:dyDescent="0.2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spans="1:26" ht="14.25" customHeight="1" x14ac:dyDescent="0.2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spans="1:26" ht="14.25" customHeight="1" x14ac:dyDescent="0.2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spans="1:26" ht="14.25" customHeight="1" x14ac:dyDescent="0.2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spans="1:26" ht="14.25" customHeight="1" x14ac:dyDescent="0.2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spans="1:26" ht="14.25" customHeight="1" x14ac:dyDescent="0.2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spans="1:26" ht="14.25" customHeight="1" x14ac:dyDescent="0.2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spans="1:26" ht="14.25" customHeight="1" x14ac:dyDescent="0.2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spans="1:26" ht="14.25" customHeight="1" x14ac:dyDescent="0.2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spans="1:26" ht="14.25" customHeight="1" x14ac:dyDescent="0.2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spans="1:26" ht="14.25" customHeight="1" x14ac:dyDescent="0.2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spans="1:26" ht="14.25" customHeight="1" x14ac:dyDescent="0.2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spans="1:26" ht="14.25" customHeight="1" x14ac:dyDescent="0.2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spans="1:26" ht="14.25" customHeight="1" x14ac:dyDescent="0.2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spans="1:26" ht="14.25" customHeight="1" x14ac:dyDescent="0.2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spans="1:26" ht="14.25" customHeight="1" x14ac:dyDescent="0.2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spans="1:26" ht="14.25" customHeight="1" x14ac:dyDescent="0.2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spans="1:26" ht="14.25" customHeight="1" x14ac:dyDescent="0.2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spans="1:26" ht="14.25" customHeight="1" x14ac:dyDescent="0.2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spans="1:26" ht="14.25" customHeight="1" x14ac:dyDescent="0.2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spans="1:26" ht="14.25" customHeight="1" x14ac:dyDescent="0.2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spans="1:26" ht="14.25" customHeight="1" x14ac:dyDescent="0.2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spans="1:26" ht="14.25" customHeight="1" x14ac:dyDescent="0.2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spans="1:26" ht="14.25" customHeight="1" x14ac:dyDescent="0.2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spans="1:26" ht="14.25" customHeight="1" x14ac:dyDescent="0.2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spans="1:26" ht="14.25" customHeight="1" x14ac:dyDescent="0.2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spans="1:26" ht="14.25" customHeight="1" x14ac:dyDescent="0.2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spans="1:26" ht="14.25" customHeight="1" x14ac:dyDescent="0.2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spans="1:26" ht="14.25" customHeight="1" x14ac:dyDescent="0.2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spans="1:26" ht="14.25" customHeight="1" x14ac:dyDescent="0.2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spans="1:26" ht="14.25" customHeight="1" x14ac:dyDescent="0.2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spans="1:26" ht="14.25" customHeight="1" x14ac:dyDescent="0.2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spans="1:26" ht="14.25" customHeight="1" x14ac:dyDescent="0.2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spans="1:26" ht="14.25" customHeight="1" x14ac:dyDescent="0.2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spans="1:26" ht="14.25" customHeight="1" x14ac:dyDescent="0.2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spans="1:26" ht="14.25" customHeight="1" x14ac:dyDescent="0.2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spans="1:26" ht="14.25" customHeight="1" x14ac:dyDescent="0.2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spans="1:26" ht="14.25" customHeight="1" x14ac:dyDescent="0.2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spans="1:26" ht="14.25" customHeight="1" x14ac:dyDescent="0.2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spans="1:26" ht="14.25" customHeight="1" x14ac:dyDescent="0.2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spans="1:26" ht="14.25" customHeight="1" x14ac:dyDescent="0.2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spans="1:26" ht="14.25" customHeight="1" x14ac:dyDescent="0.2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spans="1:26" ht="14.25" customHeight="1" x14ac:dyDescent="0.2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spans="1:26" ht="14.25" customHeight="1" x14ac:dyDescent="0.2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spans="1:26" ht="14.25" customHeight="1" x14ac:dyDescent="0.2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spans="1:26" ht="14.25" customHeight="1" x14ac:dyDescent="0.2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spans="1:26" ht="14.25" customHeight="1" x14ac:dyDescent="0.2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spans="1:26" ht="14.25" customHeight="1" x14ac:dyDescent="0.2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spans="1:26" ht="14.25" customHeight="1" x14ac:dyDescent="0.2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spans="1:26" ht="14.25" customHeight="1" x14ac:dyDescent="0.2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spans="1:26" ht="14.25" customHeight="1" x14ac:dyDescent="0.2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spans="1:26" ht="14.25" customHeight="1" x14ac:dyDescent="0.2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spans="1:26" ht="14.25" customHeight="1" x14ac:dyDescent="0.2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spans="1:26" ht="14.25" customHeight="1" x14ac:dyDescent="0.2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spans="1:26" ht="14.25" customHeight="1" x14ac:dyDescent="0.2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spans="1:26" ht="14.25" customHeight="1" x14ac:dyDescent="0.2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spans="1:26" ht="14.25" customHeight="1" x14ac:dyDescent="0.2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spans="1:26" ht="14.25" customHeight="1" x14ac:dyDescent="0.2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spans="1:26" ht="14.25" customHeight="1" x14ac:dyDescent="0.2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spans="1:26" ht="14.25" customHeight="1" x14ac:dyDescent="0.2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spans="1:26" ht="14.25" customHeight="1" x14ac:dyDescent="0.2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spans="1:26" ht="14.25" customHeight="1" x14ac:dyDescent="0.2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spans="1:26" ht="14.25" customHeight="1" x14ac:dyDescent="0.2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spans="1:26" ht="14.25" customHeight="1" x14ac:dyDescent="0.2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spans="1:26" ht="14.25" customHeight="1" x14ac:dyDescent="0.2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spans="1:26" ht="14.25" customHeight="1" x14ac:dyDescent="0.2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spans="1:26" ht="14.25" customHeight="1" x14ac:dyDescent="0.2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spans="1:26" ht="14.25" customHeight="1" x14ac:dyDescent="0.2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spans="1:26" ht="14.25" customHeight="1" x14ac:dyDescent="0.2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spans="1:26" ht="14.25" customHeight="1" x14ac:dyDescent="0.2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spans="1:26" ht="14.25" customHeight="1" x14ac:dyDescent="0.2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spans="1:26" ht="14.25" customHeight="1" x14ac:dyDescent="0.2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spans="1:26" ht="14.25" customHeight="1" x14ac:dyDescent="0.2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spans="1:26" ht="14.25" customHeight="1" x14ac:dyDescent="0.2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spans="1:26" ht="14.25" customHeight="1" x14ac:dyDescent="0.2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spans="1:26" ht="14.25" customHeight="1" x14ac:dyDescent="0.2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spans="1:26" ht="14.25" customHeight="1" x14ac:dyDescent="0.2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spans="1:26" ht="14.25" customHeight="1" x14ac:dyDescent="0.2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spans="1:26" ht="14.25" customHeight="1" x14ac:dyDescent="0.2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spans="1:26" ht="14.25" customHeight="1" x14ac:dyDescent="0.2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spans="1:26" ht="14.25" customHeight="1" x14ac:dyDescent="0.2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spans="1:26" ht="14.25" customHeight="1" x14ac:dyDescent="0.2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spans="1:26" ht="14.25" customHeight="1" x14ac:dyDescent="0.2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spans="1:26" ht="14.25" customHeight="1" x14ac:dyDescent="0.2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spans="1:26" ht="14.25" customHeight="1" x14ac:dyDescent="0.2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spans="1:26" ht="14.25" customHeight="1" x14ac:dyDescent="0.2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spans="1:26" ht="14.25" customHeight="1" x14ac:dyDescent="0.2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spans="1:26" ht="14.25" customHeight="1" x14ac:dyDescent="0.2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spans="1:26" ht="14.25" customHeight="1" x14ac:dyDescent="0.2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spans="1:26" ht="14.25" customHeight="1" x14ac:dyDescent="0.2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spans="1:26" ht="14.25" customHeight="1" x14ac:dyDescent="0.2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spans="1:26" ht="14.25" customHeight="1" x14ac:dyDescent="0.2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spans="1:26" ht="14.25" customHeight="1" x14ac:dyDescent="0.2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spans="1:26" ht="14.25" customHeight="1" x14ac:dyDescent="0.2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spans="1:26" ht="14.25" customHeight="1" x14ac:dyDescent="0.2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spans="1:26" ht="14.25" customHeight="1" x14ac:dyDescent="0.2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spans="1:26" ht="14.25" customHeight="1" x14ac:dyDescent="0.2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spans="1:26" ht="14.25" customHeight="1" x14ac:dyDescent="0.2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spans="1:26" ht="14.25" customHeight="1" x14ac:dyDescent="0.2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spans="1:26" ht="14.25" customHeight="1" x14ac:dyDescent="0.2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spans="1:26" ht="14.25" customHeight="1" x14ac:dyDescent="0.2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spans="1:26" ht="14.25" customHeight="1" x14ac:dyDescent="0.2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spans="1:26" ht="14.25" customHeight="1" x14ac:dyDescent="0.2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spans="1:26" ht="14.25" customHeight="1" x14ac:dyDescent="0.2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spans="1:26" ht="14.25" customHeight="1" x14ac:dyDescent="0.2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spans="1:26" ht="14.25" customHeight="1" x14ac:dyDescent="0.2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spans="1:26" ht="14.25" customHeight="1" x14ac:dyDescent="0.2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spans="1:26" ht="14.25" customHeight="1" x14ac:dyDescent="0.2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spans="1:26" ht="14.25" customHeight="1" x14ac:dyDescent="0.2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spans="1:26" ht="14.25" customHeight="1" x14ac:dyDescent="0.2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spans="1:26" ht="14.25" customHeight="1" x14ac:dyDescent="0.2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spans="1:26" ht="14.25" customHeight="1" x14ac:dyDescent="0.2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spans="1:26" ht="14.25" customHeight="1" x14ac:dyDescent="0.2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spans="1:26" ht="14.25" customHeight="1" x14ac:dyDescent="0.2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spans="1:26" ht="14.25" customHeight="1" x14ac:dyDescent="0.2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spans="1:26" ht="14.25" customHeight="1" x14ac:dyDescent="0.2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spans="1:26" ht="14.25" customHeight="1" x14ac:dyDescent="0.2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spans="1:26" ht="14.25" customHeight="1" x14ac:dyDescent="0.2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spans="1:26" ht="14.25" customHeight="1" x14ac:dyDescent="0.2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spans="1:26" ht="14.25" customHeight="1" x14ac:dyDescent="0.2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spans="1:26" ht="14.25" customHeight="1" x14ac:dyDescent="0.2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spans="1:26" ht="14.25" customHeight="1" x14ac:dyDescent="0.2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spans="1:26" ht="14.25" customHeight="1" x14ac:dyDescent="0.2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spans="1:26" ht="14.25" customHeight="1" x14ac:dyDescent="0.2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spans="1:26" ht="14.25" customHeight="1" x14ac:dyDescent="0.2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spans="1:26" ht="14.25" customHeight="1" x14ac:dyDescent="0.2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spans="1:26" ht="14.25" customHeight="1" x14ac:dyDescent="0.2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spans="1:26" ht="14.25" customHeight="1" x14ac:dyDescent="0.2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spans="1:26" ht="14.25" customHeight="1" x14ac:dyDescent="0.2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spans="1:26" ht="14.25" customHeight="1" x14ac:dyDescent="0.2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spans="1:26" ht="14.25" customHeight="1" x14ac:dyDescent="0.2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spans="1:26" ht="14.25" customHeight="1" x14ac:dyDescent="0.2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spans="1:26" ht="14.25" customHeight="1" x14ac:dyDescent="0.2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spans="1:26" ht="14.25" customHeight="1" x14ac:dyDescent="0.2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spans="1:26" ht="14.25" customHeight="1" x14ac:dyDescent="0.2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spans="1:26" ht="14.25" customHeight="1" x14ac:dyDescent="0.2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spans="1:26" ht="14.25" customHeight="1" x14ac:dyDescent="0.2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spans="1:26" ht="14.25" customHeight="1" x14ac:dyDescent="0.2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spans="1:26" ht="14.25" customHeight="1" x14ac:dyDescent="0.2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spans="1:26" ht="14.25" customHeight="1" x14ac:dyDescent="0.2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spans="1:26" ht="14.25" customHeight="1" x14ac:dyDescent="0.2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spans="1:26" ht="14.25" customHeight="1" x14ac:dyDescent="0.2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spans="1:26" ht="14.25" customHeight="1" x14ac:dyDescent="0.2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spans="1:26" ht="14.25" customHeight="1" x14ac:dyDescent="0.2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spans="1:26" ht="14.25" customHeight="1" x14ac:dyDescent="0.2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spans="1:26" ht="14.25" customHeight="1" x14ac:dyDescent="0.2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spans="1:26" ht="14.25" customHeight="1" x14ac:dyDescent="0.2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spans="1:26" ht="14.25" customHeight="1" x14ac:dyDescent="0.2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spans="1:26" ht="14.25" customHeight="1" x14ac:dyDescent="0.2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spans="1:26" ht="14.25" customHeight="1" x14ac:dyDescent="0.2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spans="1:26" ht="14.25" customHeight="1" x14ac:dyDescent="0.2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spans="1:26" ht="14.25" customHeight="1" x14ac:dyDescent="0.2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spans="1:26" ht="14.25" customHeight="1" x14ac:dyDescent="0.2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spans="1:26" ht="14.25" customHeight="1" x14ac:dyDescent="0.2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spans="1:26" ht="14.25" customHeight="1" x14ac:dyDescent="0.2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spans="1:26" ht="14.25" customHeight="1" x14ac:dyDescent="0.2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spans="1:26" ht="14.25" customHeight="1" x14ac:dyDescent="0.2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spans="1:26" ht="14.25" customHeight="1" x14ac:dyDescent="0.2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spans="1:26" ht="14.25" customHeight="1" x14ac:dyDescent="0.2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spans="1:26" ht="14.25" customHeight="1" x14ac:dyDescent="0.2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spans="1:26" ht="14.25" customHeight="1" x14ac:dyDescent="0.2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spans="1:26" ht="14.25" customHeight="1" x14ac:dyDescent="0.2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spans="1:26" ht="14.25" customHeight="1" x14ac:dyDescent="0.2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spans="1:26" ht="14.25" customHeight="1" x14ac:dyDescent="0.2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spans="1:26" ht="14.25" customHeight="1" x14ac:dyDescent="0.2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spans="1:26" ht="14.25" customHeight="1" x14ac:dyDescent="0.2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spans="1:26" ht="14.25" customHeight="1" x14ac:dyDescent="0.2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spans="1:26" ht="14.25" customHeight="1" x14ac:dyDescent="0.2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spans="1:26" ht="14.25" customHeight="1" x14ac:dyDescent="0.2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spans="1:26" ht="14.25" customHeight="1" x14ac:dyDescent="0.2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spans="1:26" ht="14.25" customHeight="1" x14ac:dyDescent="0.2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spans="1:26" ht="14.25" customHeight="1" x14ac:dyDescent="0.2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spans="1:26" ht="14.25" customHeight="1" x14ac:dyDescent="0.2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spans="1:26" ht="14.25" customHeight="1" x14ac:dyDescent="0.2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spans="1:26" ht="14.25" customHeight="1" x14ac:dyDescent="0.2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spans="1:26" ht="14.25" customHeight="1" x14ac:dyDescent="0.2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spans="1:26" ht="14.25" customHeight="1" x14ac:dyDescent="0.2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spans="1:26" ht="14.25" customHeight="1" x14ac:dyDescent="0.2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spans="1:26" ht="14.25" customHeight="1" x14ac:dyDescent="0.2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spans="1:26" ht="14.25" customHeight="1" x14ac:dyDescent="0.2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spans="1:26" ht="14.25" customHeight="1" x14ac:dyDescent="0.2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spans="1:26" ht="14.25" customHeight="1" x14ac:dyDescent="0.2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spans="1:26" ht="14.25" customHeight="1" x14ac:dyDescent="0.2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spans="1:26" ht="14.25" customHeight="1" x14ac:dyDescent="0.2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spans="1:26" ht="14.25" customHeight="1" x14ac:dyDescent="0.2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spans="1:26" ht="14.25" customHeight="1" x14ac:dyDescent="0.2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spans="1:26" ht="14.25" customHeight="1" x14ac:dyDescent="0.2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spans="1:26" ht="14.25" customHeight="1" x14ac:dyDescent="0.2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spans="1:26" ht="14.25" customHeight="1" x14ac:dyDescent="0.2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spans="1:26" ht="14.25" customHeight="1" x14ac:dyDescent="0.2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spans="1:26" ht="14.25" customHeight="1" x14ac:dyDescent="0.2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spans="1:26" ht="14.25" customHeight="1" x14ac:dyDescent="0.2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spans="1:26" ht="14.25" customHeight="1" x14ac:dyDescent="0.2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spans="1:26" ht="14.25" customHeight="1" x14ac:dyDescent="0.2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spans="1:26" ht="14.25" customHeight="1" x14ac:dyDescent="0.2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spans="1:26" ht="14.25" customHeight="1" x14ac:dyDescent="0.2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spans="1:26" ht="14.25" customHeight="1" x14ac:dyDescent="0.2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spans="1:26" ht="14.25" customHeight="1" x14ac:dyDescent="0.2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spans="1:26" ht="14.25" customHeight="1" x14ac:dyDescent="0.2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spans="1:26" ht="14.25" customHeight="1" x14ac:dyDescent="0.2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spans="1:26" ht="14.25" customHeight="1" x14ac:dyDescent="0.2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spans="1:26" ht="14.25" customHeight="1" x14ac:dyDescent="0.2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spans="1:26" ht="14.25" customHeight="1" x14ac:dyDescent="0.2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spans="1:26" ht="14.25" customHeight="1" x14ac:dyDescent="0.2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spans="1:26" ht="14.25" customHeight="1" x14ac:dyDescent="0.2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spans="1:26" ht="14.25" customHeight="1" x14ac:dyDescent="0.2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spans="1:26" ht="14.25" customHeight="1" x14ac:dyDescent="0.2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spans="1:26" ht="14.25" customHeight="1" x14ac:dyDescent="0.2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spans="1:26" ht="14.25" customHeight="1" x14ac:dyDescent="0.2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spans="1:26" ht="14.25" customHeight="1" x14ac:dyDescent="0.2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spans="1:26" ht="14.25" customHeight="1" x14ac:dyDescent="0.2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spans="1:26" ht="14.25" customHeight="1" x14ac:dyDescent="0.2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spans="1:26" ht="14.25" customHeight="1" x14ac:dyDescent="0.2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spans="1:26" ht="14.25" customHeight="1" x14ac:dyDescent="0.2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spans="1:26" ht="14.25" customHeight="1" x14ac:dyDescent="0.2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spans="1:26" ht="14.25" customHeight="1" x14ac:dyDescent="0.2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spans="1:26" ht="14.25" customHeight="1" x14ac:dyDescent="0.2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spans="1:26" ht="14.25" customHeight="1" x14ac:dyDescent="0.2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spans="1:26" ht="14.25" customHeight="1" x14ac:dyDescent="0.2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spans="1:26" ht="14.25" customHeight="1" x14ac:dyDescent="0.2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spans="1:26" ht="14.25" customHeight="1" x14ac:dyDescent="0.2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spans="1:26" ht="14.25" customHeight="1" x14ac:dyDescent="0.2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spans="1:26" ht="14.25" customHeight="1" x14ac:dyDescent="0.2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spans="1:26" ht="14.25" customHeight="1" x14ac:dyDescent="0.2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spans="1:26" ht="14.25" customHeight="1" x14ac:dyDescent="0.2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spans="1:26" ht="14.25" customHeight="1" x14ac:dyDescent="0.2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spans="1:26" ht="14.25" customHeight="1" x14ac:dyDescent="0.2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spans="1:26" ht="14.25" customHeight="1" x14ac:dyDescent="0.2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spans="1:26" ht="14.25" customHeight="1" x14ac:dyDescent="0.2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spans="1:26" ht="14.25" customHeight="1" x14ac:dyDescent="0.2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spans="1:26" ht="14.25" customHeight="1" x14ac:dyDescent="0.2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spans="1:26" ht="14.25" customHeight="1" x14ac:dyDescent="0.2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spans="1:26" ht="14.25" customHeight="1" x14ac:dyDescent="0.2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spans="1:26" ht="14.25" customHeight="1" x14ac:dyDescent="0.2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spans="1:26" ht="14.25" customHeight="1" x14ac:dyDescent="0.2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spans="1:26" ht="14.25" customHeight="1" x14ac:dyDescent="0.2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spans="1:26" ht="14.25" customHeight="1" x14ac:dyDescent="0.2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spans="1:26" ht="14.25" customHeight="1" x14ac:dyDescent="0.2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spans="1:26" ht="14.25" customHeight="1" x14ac:dyDescent="0.2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spans="1:26" ht="14.25" customHeight="1" x14ac:dyDescent="0.2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spans="1:26" ht="14.25" customHeight="1" x14ac:dyDescent="0.2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spans="1:26" ht="14.25" customHeight="1" x14ac:dyDescent="0.2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spans="1:26" ht="14.25" customHeight="1" x14ac:dyDescent="0.2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spans="1:26" ht="14.25" customHeight="1" x14ac:dyDescent="0.2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spans="1:26" ht="14.25" customHeight="1" x14ac:dyDescent="0.2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spans="1:26" ht="14.25" customHeight="1" x14ac:dyDescent="0.2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spans="1:26" ht="14.25" customHeight="1" x14ac:dyDescent="0.2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spans="1:26" ht="14.25" customHeight="1" x14ac:dyDescent="0.2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spans="1:26" ht="14.25" customHeight="1" x14ac:dyDescent="0.2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spans="1:26" ht="14.25" customHeight="1" x14ac:dyDescent="0.2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spans="1:26" ht="14.25" customHeight="1" x14ac:dyDescent="0.2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spans="1:26" ht="14.25" customHeight="1" x14ac:dyDescent="0.2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spans="1:26" ht="14.25" customHeight="1" x14ac:dyDescent="0.2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spans="1:26" ht="14.25" customHeight="1" x14ac:dyDescent="0.2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spans="1:26" ht="14.25" customHeight="1" x14ac:dyDescent="0.2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spans="1:26" ht="14.25" customHeight="1" x14ac:dyDescent="0.2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spans="1:26" ht="14.25" customHeight="1" x14ac:dyDescent="0.2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spans="1:26" ht="14.25" customHeight="1" x14ac:dyDescent="0.2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spans="1:26" ht="14.25" customHeight="1" x14ac:dyDescent="0.2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spans="1:26" ht="14.25" customHeight="1" x14ac:dyDescent="0.2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spans="1:26" ht="14.25" customHeight="1" x14ac:dyDescent="0.2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spans="1:26" ht="14.25" customHeight="1" x14ac:dyDescent="0.2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spans="1:26" ht="14.25" customHeight="1" x14ac:dyDescent="0.2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spans="1:26" ht="14.25" customHeight="1" x14ac:dyDescent="0.2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spans="1:26" ht="14.25" customHeight="1" x14ac:dyDescent="0.2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spans="1:26" ht="14.25" customHeight="1" x14ac:dyDescent="0.2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spans="1:26" ht="14.25" customHeight="1" x14ac:dyDescent="0.2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spans="1:26" ht="14.25" customHeight="1" x14ac:dyDescent="0.2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spans="1:26" ht="14.25" customHeight="1" x14ac:dyDescent="0.2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spans="1:26" ht="14.25" customHeight="1" x14ac:dyDescent="0.2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spans="1:26" ht="14.25" customHeight="1" x14ac:dyDescent="0.2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spans="1:26" ht="14.25" customHeight="1" x14ac:dyDescent="0.2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spans="1:26" ht="14.25" customHeight="1" x14ac:dyDescent="0.2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spans="1:26" ht="14.25" customHeight="1" x14ac:dyDescent="0.2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spans="1:26" ht="14.25" customHeight="1" x14ac:dyDescent="0.2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spans="1:26" ht="14.25" customHeight="1" x14ac:dyDescent="0.2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spans="1:26" ht="14.25" customHeight="1" x14ac:dyDescent="0.2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spans="1:26" ht="14.25" customHeight="1" x14ac:dyDescent="0.2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spans="1:26" ht="14.25" customHeight="1" x14ac:dyDescent="0.2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spans="1:26" ht="14.25" customHeight="1" x14ac:dyDescent="0.2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spans="1:26" ht="14.25" customHeight="1" x14ac:dyDescent="0.2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spans="1:26" ht="14.25" customHeight="1" x14ac:dyDescent="0.2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spans="1:26" ht="14.25" customHeight="1" x14ac:dyDescent="0.2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spans="1:26" ht="14.25" customHeight="1" x14ac:dyDescent="0.2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spans="1:26" ht="14.25" customHeight="1" x14ac:dyDescent="0.2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spans="1:26" ht="14.25" customHeight="1" x14ac:dyDescent="0.2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spans="1:26" ht="14.25" customHeight="1" x14ac:dyDescent="0.2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spans="1:26" ht="14.25" customHeight="1" x14ac:dyDescent="0.2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spans="1:26" ht="14.25" customHeight="1" x14ac:dyDescent="0.2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spans="1:26" ht="14.25" customHeight="1" x14ac:dyDescent="0.2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spans="1:26" ht="14.25" customHeight="1" x14ac:dyDescent="0.2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spans="1:26" ht="14.25" customHeight="1" x14ac:dyDescent="0.2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spans="1:26" ht="14.25" customHeight="1" x14ac:dyDescent="0.2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spans="1:26" ht="14.25" customHeight="1" x14ac:dyDescent="0.2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spans="1:26" ht="14.25" customHeight="1" x14ac:dyDescent="0.2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spans="1:26" ht="14.25" customHeight="1" x14ac:dyDescent="0.2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spans="1:26" ht="14.25" customHeight="1" x14ac:dyDescent="0.2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spans="1:26" ht="14.25" customHeight="1" x14ac:dyDescent="0.2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spans="1:26" ht="14.25" customHeight="1" x14ac:dyDescent="0.2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spans="1:26" ht="14.25" customHeight="1" x14ac:dyDescent="0.2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spans="1:26" ht="14.25" customHeight="1" x14ac:dyDescent="0.2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spans="1:26" ht="14.25" customHeight="1" x14ac:dyDescent="0.2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spans="1:26" ht="14.25" customHeight="1" x14ac:dyDescent="0.2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spans="1:26" ht="14.25" customHeight="1" x14ac:dyDescent="0.2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spans="1:26" ht="14.25" customHeight="1" x14ac:dyDescent="0.2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spans="1:26" ht="14.25" customHeight="1" x14ac:dyDescent="0.2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spans="1:26" ht="14.25" customHeight="1" x14ac:dyDescent="0.2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spans="1:26" ht="14.25" customHeight="1" x14ac:dyDescent="0.2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spans="1:26" ht="14.25" customHeight="1" x14ac:dyDescent="0.2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spans="1:26" ht="14.25" customHeight="1" x14ac:dyDescent="0.2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spans="1:26" ht="14.25" customHeight="1" x14ac:dyDescent="0.2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spans="1:26" ht="14.25" customHeight="1" x14ac:dyDescent="0.2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spans="1:26" ht="14.25" customHeight="1" x14ac:dyDescent="0.2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spans="1:26" ht="14.25" customHeight="1" x14ac:dyDescent="0.2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spans="1:26" ht="14.25" customHeight="1" x14ac:dyDescent="0.2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spans="1:26" ht="14.25" customHeight="1" x14ac:dyDescent="0.2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spans="1:26" ht="14.25" customHeight="1" x14ac:dyDescent="0.2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spans="1:26" ht="14.25" customHeight="1" x14ac:dyDescent="0.2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spans="1:26" ht="14.25" customHeight="1" x14ac:dyDescent="0.2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spans="1:26" ht="14.25" customHeight="1" x14ac:dyDescent="0.2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spans="1:26" ht="14.25" customHeight="1" x14ac:dyDescent="0.2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spans="1:26" ht="14.25" customHeight="1" x14ac:dyDescent="0.2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spans="1:26" ht="14.25" customHeight="1" x14ac:dyDescent="0.2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spans="1:26" ht="14.25" customHeight="1" x14ac:dyDescent="0.2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spans="1:26" ht="14.25" customHeight="1" x14ac:dyDescent="0.2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spans="1:26" ht="14.25" customHeight="1" x14ac:dyDescent="0.2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spans="1:26" ht="14.25" customHeight="1" x14ac:dyDescent="0.2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spans="1:26" ht="14.25" customHeight="1" x14ac:dyDescent="0.2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spans="1:26" ht="14.25" customHeight="1" x14ac:dyDescent="0.2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spans="1:26" ht="14.25" customHeight="1" x14ac:dyDescent="0.2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spans="1:26" ht="14.25" customHeight="1" x14ac:dyDescent="0.2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spans="1:26" ht="14.25" customHeight="1" x14ac:dyDescent="0.2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spans="1:26" ht="14.25" customHeight="1" x14ac:dyDescent="0.2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spans="1:26" ht="14.25" customHeight="1" x14ac:dyDescent="0.2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spans="1:26" ht="14.25" customHeight="1" x14ac:dyDescent="0.2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spans="1:26" ht="14.25" customHeight="1" x14ac:dyDescent="0.2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spans="1:26" ht="14.25" customHeight="1" x14ac:dyDescent="0.2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spans="1:26" ht="14.25" customHeight="1" x14ac:dyDescent="0.2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spans="1:26" ht="14.25" customHeight="1" x14ac:dyDescent="0.2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spans="1:26" ht="14.25" customHeight="1" x14ac:dyDescent="0.2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spans="1:26" ht="14.25" customHeight="1" x14ac:dyDescent="0.2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spans="1:26" ht="14.25" customHeight="1" x14ac:dyDescent="0.2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spans="1:26" ht="14.25" customHeight="1" x14ac:dyDescent="0.2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spans="1:26" ht="14.25" customHeight="1" x14ac:dyDescent="0.2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spans="1:26" ht="14.25" customHeight="1" x14ac:dyDescent="0.2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spans="1:26" ht="14.25" customHeight="1" x14ac:dyDescent="0.2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spans="1:26" ht="14.25" customHeight="1" x14ac:dyDescent="0.2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spans="1:26" ht="14.25" customHeight="1" x14ac:dyDescent="0.2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spans="1:26" ht="14.25" customHeight="1" x14ac:dyDescent="0.2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spans="1:26" ht="14.25" customHeight="1" x14ac:dyDescent="0.2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spans="1:26" ht="14.25" customHeight="1" x14ac:dyDescent="0.2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spans="1:26" ht="14.25" customHeight="1" x14ac:dyDescent="0.2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spans="1:26" ht="14.25" customHeight="1" x14ac:dyDescent="0.2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spans="1:26" ht="14.25" customHeight="1" x14ac:dyDescent="0.2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spans="1:26" ht="14.25" customHeight="1" x14ac:dyDescent="0.2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spans="1:26" ht="14.25" customHeight="1" x14ac:dyDescent="0.2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spans="1:26" ht="14.25" customHeight="1" x14ac:dyDescent="0.2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spans="1:26" ht="14.25" customHeight="1" x14ac:dyDescent="0.2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spans="1:26" ht="14.25" customHeight="1" x14ac:dyDescent="0.2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spans="1:26" ht="14.25" customHeight="1" x14ac:dyDescent="0.2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spans="1:26" ht="14.25" customHeight="1" x14ac:dyDescent="0.2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spans="1:26" ht="14.25" customHeight="1" x14ac:dyDescent="0.2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spans="1:26" ht="14.25" customHeight="1" x14ac:dyDescent="0.2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spans="1:26" ht="14.25" customHeight="1" x14ac:dyDescent="0.2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spans="1:26" ht="14.25" customHeight="1" x14ac:dyDescent="0.2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spans="1:26" ht="14.25" customHeight="1" x14ac:dyDescent="0.2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spans="1:26" ht="14.25" customHeight="1" x14ac:dyDescent="0.2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spans="1:26" ht="14.25" customHeight="1" x14ac:dyDescent="0.2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spans="1:26" ht="14.25" customHeight="1" x14ac:dyDescent="0.2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spans="1:26" ht="14.25" customHeight="1" x14ac:dyDescent="0.2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spans="1:26" ht="14.25" customHeight="1" x14ac:dyDescent="0.2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spans="1:26" ht="14.25" customHeight="1" x14ac:dyDescent="0.2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spans="1:26" ht="14.25" customHeight="1" x14ac:dyDescent="0.2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spans="1:26" ht="14.25" customHeight="1" x14ac:dyDescent="0.2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spans="1:26" ht="14.25" customHeight="1" x14ac:dyDescent="0.2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spans="1:26" ht="14.25" customHeight="1" x14ac:dyDescent="0.2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spans="1:26" ht="14.25" customHeight="1" x14ac:dyDescent="0.2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spans="1:26" ht="14.25" customHeight="1" x14ac:dyDescent="0.2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spans="1:26" ht="14.25" customHeight="1" x14ac:dyDescent="0.2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spans="1:26" ht="14.25" customHeight="1" x14ac:dyDescent="0.2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spans="1:26" ht="14.25" customHeight="1" x14ac:dyDescent="0.2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spans="1:26" ht="14.25" customHeight="1" x14ac:dyDescent="0.2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spans="1:26" ht="14.25" customHeight="1" x14ac:dyDescent="0.2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spans="1:26" ht="14.25" customHeight="1" x14ac:dyDescent="0.2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spans="1:26" ht="14.25" customHeight="1" x14ac:dyDescent="0.2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spans="1:26" ht="14.25" customHeight="1" x14ac:dyDescent="0.2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spans="1:26" ht="14.25" customHeight="1" x14ac:dyDescent="0.2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spans="1:26" ht="14.25" customHeight="1" x14ac:dyDescent="0.2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spans="1:26" ht="14.25" customHeight="1" x14ac:dyDescent="0.2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spans="1:26" ht="14.25" customHeight="1" x14ac:dyDescent="0.2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spans="1:26" ht="14.25" customHeight="1" x14ac:dyDescent="0.2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spans="1:26" ht="14.25" customHeight="1" x14ac:dyDescent="0.2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spans="1:26" ht="14.25" customHeight="1" x14ac:dyDescent="0.2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spans="1:26" ht="14.25" customHeight="1" x14ac:dyDescent="0.2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spans="1:26" ht="14.25" customHeight="1" x14ac:dyDescent="0.2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spans="1:26" ht="14.25" customHeight="1" x14ac:dyDescent="0.2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spans="1:26" ht="14.25" customHeight="1" x14ac:dyDescent="0.2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spans="1:26" ht="14.25" customHeight="1" x14ac:dyDescent="0.2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spans="1:26" ht="14.25" customHeight="1" x14ac:dyDescent="0.2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spans="1:26" ht="14.25" customHeight="1" x14ac:dyDescent="0.2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spans="1:26" ht="14.25" customHeight="1" x14ac:dyDescent="0.2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spans="1:26" ht="14.25" customHeight="1" x14ac:dyDescent="0.2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spans="1:26" ht="14.25" customHeight="1" x14ac:dyDescent="0.2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spans="1:26" ht="14.25" customHeight="1" x14ac:dyDescent="0.2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spans="1:26" ht="14.25" customHeight="1" x14ac:dyDescent="0.2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spans="1:26" ht="14.25" customHeight="1" x14ac:dyDescent="0.2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spans="1:26" ht="14.25" customHeight="1" x14ac:dyDescent="0.2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spans="1:26" ht="14.25" customHeight="1" x14ac:dyDescent="0.2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spans="1:26" ht="14.25" customHeight="1" x14ac:dyDescent="0.2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spans="1:26" ht="14.25" customHeight="1" x14ac:dyDescent="0.2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spans="1:26" ht="14.25" customHeight="1" x14ac:dyDescent="0.2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spans="1:26" ht="14.25" customHeight="1" x14ac:dyDescent="0.2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spans="1:26" ht="14.25" customHeight="1" x14ac:dyDescent="0.2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spans="1:26" ht="14.25" customHeight="1" x14ac:dyDescent="0.2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spans="1:26" ht="14.25" customHeight="1" x14ac:dyDescent="0.2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spans="1:26" ht="14.25" customHeight="1" x14ac:dyDescent="0.2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spans="1:26" ht="14.25" customHeight="1" x14ac:dyDescent="0.2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spans="1:26" ht="14.25" customHeight="1" x14ac:dyDescent="0.2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spans="1:26" ht="14.25" customHeight="1" x14ac:dyDescent="0.2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spans="1:26" ht="14.25" customHeight="1" x14ac:dyDescent="0.2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spans="1:26" ht="14.25" customHeight="1" x14ac:dyDescent="0.2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spans="1:26" ht="14.25" customHeight="1" x14ac:dyDescent="0.2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spans="1:26" ht="14.25" customHeight="1" x14ac:dyDescent="0.2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spans="1:26" ht="14.25" customHeight="1" x14ac:dyDescent="0.2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spans="1:26" ht="14.25" customHeight="1" x14ac:dyDescent="0.2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spans="1:26" ht="14.25" customHeight="1" x14ac:dyDescent="0.2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spans="1:26" ht="14.25" customHeight="1" x14ac:dyDescent="0.2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spans="1:26" ht="14.25" customHeight="1" x14ac:dyDescent="0.2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spans="1:26" ht="14.25" customHeight="1" x14ac:dyDescent="0.2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spans="1:26" ht="14.25" customHeight="1" x14ac:dyDescent="0.2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spans="1:26" ht="14.25" customHeight="1" x14ac:dyDescent="0.2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spans="1:26" ht="14.25" customHeight="1" x14ac:dyDescent="0.2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spans="1:26" ht="14.25" customHeight="1" x14ac:dyDescent="0.2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spans="1:26" ht="14.25" customHeight="1" x14ac:dyDescent="0.2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spans="1:26" ht="14.25" customHeight="1" x14ac:dyDescent="0.2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spans="1:26" ht="14.25" customHeight="1" x14ac:dyDescent="0.2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spans="1:26" ht="14.25" customHeight="1" x14ac:dyDescent="0.2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spans="1:26" ht="14.25" customHeight="1" x14ac:dyDescent="0.2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spans="1:26" ht="14.25" customHeight="1" x14ac:dyDescent="0.2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spans="1:26" ht="14.25" customHeight="1" x14ac:dyDescent="0.2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spans="1:26" ht="14.25" customHeight="1" x14ac:dyDescent="0.2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spans="1:26" ht="14.25" customHeight="1" x14ac:dyDescent="0.2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spans="1:26" ht="14.25" customHeight="1" x14ac:dyDescent="0.2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spans="1:26" ht="14.25" customHeight="1" x14ac:dyDescent="0.2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spans="1:26" ht="14.25" customHeight="1" x14ac:dyDescent="0.2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spans="1:26" ht="14.25" customHeight="1" x14ac:dyDescent="0.2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spans="1:26" ht="14.25" customHeight="1" x14ac:dyDescent="0.2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spans="1:26" ht="14.25" customHeight="1" x14ac:dyDescent="0.2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spans="1:26" ht="14.25" customHeight="1" x14ac:dyDescent="0.2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spans="1:26" ht="14.25" customHeight="1" x14ac:dyDescent="0.2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spans="1:26" ht="14.25" customHeight="1" x14ac:dyDescent="0.2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spans="1:26" ht="14.25" customHeight="1" x14ac:dyDescent="0.2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spans="1:26" ht="14.25" customHeight="1" x14ac:dyDescent="0.2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spans="1:26" ht="14.25" customHeight="1" x14ac:dyDescent="0.2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spans="1:26" ht="14.25" customHeight="1" x14ac:dyDescent="0.2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spans="1:26" ht="14.25" customHeight="1" x14ac:dyDescent="0.2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spans="1:26" ht="14.25" customHeight="1" x14ac:dyDescent="0.2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spans="1:26" ht="14.25" customHeight="1" x14ac:dyDescent="0.2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spans="1:26" ht="14.25" customHeight="1" x14ac:dyDescent="0.2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spans="1:26" ht="14.25" customHeight="1" x14ac:dyDescent="0.2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spans="1:26" ht="14.25" customHeight="1" x14ac:dyDescent="0.2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spans="1:26" ht="14.25" customHeight="1" x14ac:dyDescent="0.2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spans="1:26" ht="14.25" customHeight="1" x14ac:dyDescent="0.2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spans="1:26" ht="14.25" customHeight="1" x14ac:dyDescent="0.2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spans="1:26" ht="14.25" customHeight="1" x14ac:dyDescent="0.2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spans="1:26" ht="14.25" customHeight="1" x14ac:dyDescent="0.2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spans="1:26" ht="14.25" customHeight="1" x14ac:dyDescent="0.2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spans="1:26" ht="14.25" customHeight="1" x14ac:dyDescent="0.2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spans="1:26" ht="14.25" customHeight="1" x14ac:dyDescent="0.2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spans="1:26" ht="14.25" customHeight="1" x14ac:dyDescent="0.2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spans="1:26" ht="14.25" customHeight="1" x14ac:dyDescent="0.2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spans="1:26" ht="14.25" customHeight="1" x14ac:dyDescent="0.2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spans="1:26" ht="14.25" customHeight="1" x14ac:dyDescent="0.2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spans="1:26" ht="14.25" customHeight="1" x14ac:dyDescent="0.2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spans="1:26" ht="14.25" customHeight="1" x14ac:dyDescent="0.2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spans="1:26" ht="14.25" customHeight="1" x14ac:dyDescent="0.2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spans="1:26" ht="14.25" customHeight="1" x14ac:dyDescent="0.2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spans="1:26" ht="14.25" customHeight="1" x14ac:dyDescent="0.2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spans="1:26" ht="14.25" customHeight="1" x14ac:dyDescent="0.2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spans="1:26" ht="14.25" customHeight="1" x14ac:dyDescent="0.2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spans="1:26" ht="14.25" customHeight="1" x14ac:dyDescent="0.2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spans="1:26" ht="14.25" customHeight="1" x14ac:dyDescent="0.2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spans="1:26" ht="14.25" customHeight="1" x14ac:dyDescent="0.2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spans="1:26" ht="14.25" customHeight="1" x14ac:dyDescent="0.2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spans="1:26" ht="14.25" customHeight="1" x14ac:dyDescent="0.2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spans="1:26" ht="14.25" customHeight="1" x14ac:dyDescent="0.2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spans="1:26" ht="14.25" customHeight="1" x14ac:dyDescent="0.2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spans="1:26" ht="14.25" customHeight="1" x14ac:dyDescent="0.2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spans="1:26" ht="14.25" customHeight="1" x14ac:dyDescent="0.2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spans="1:26" ht="14.25" customHeight="1" x14ac:dyDescent="0.2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spans="1:26" ht="14.25" customHeight="1" x14ac:dyDescent="0.2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spans="1:26" ht="14.25" customHeight="1" x14ac:dyDescent="0.2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spans="1:26" ht="14.25" customHeight="1" x14ac:dyDescent="0.2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spans="1:26" ht="14.25" customHeight="1" x14ac:dyDescent="0.2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spans="1:26" ht="14.25" customHeight="1" x14ac:dyDescent="0.2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spans="1:26" ht="14.25" customHeight="1" x14ac:dyDescent="0.2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spans="1:26" ht="14.25" customHeight="1" x14ac:dyDescent="0.2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spans="1:26" ht="14.25" customHeight="1" x14ac:dyDescent="0.2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spans="1:26" ht="14.25" customHeight="1" x14ac:dyDescent="0.2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spans="1:26" ht="14.25" customHeight="1" x14ac:dyDescent="0.2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spans="1:26" ht="14.25" customHeight="1" x14ac:dyDescent="0.2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spans="1:26" ht="14.25" customHeight="1" x14ac:dyDescent="0.2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spans="1:26" ht="14.25" customHeight="1" x14ac:dyDescent="0.2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spans="1:26" ht="14.25" customHeight="1" x14ac:dyDescent="0.2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spans="1:26" ht="14.25" customHeight="1" x14ac:dyDescent="0.2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spans="1:26" ht="14.25" customHeight="1" x14ac:dyDescent="0.2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spans="1:26" ht="14.25" customHeight="1" x14ac:dyDescent="0.2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spans="1:26" ht="14.25" customHeight="1" x14ac:dyDescent="0.2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spans="1:26" ht="14.25" customHeight="1" x14ac:dyDescent="0.2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spans="1:26" ht="14.25" customHeight="1" x14ac:dyDescent="0.2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spans="1:26" ht="14.25" customHeight="1" x14ac:dyDescent="0.2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spans="1:26" ht="14.25" customHeight="1" x14ac:dyDescent="0.2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spans="1:26" ht="14.25" customHeight="1" x14ac:dyDescent="0.2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spans="1:26" ht="14.25" customHeight="1" x14ac:dyDescent="0.2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spans="1:26" ht="14.25" customHeight="1" x14ac:dyDescent="0.2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spans="1:26" ht="14.25" customHeight="1" x14ac:dyDescent="0.2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spans="1:26" ht="14.25" customHeight="1" x14ac:dyDescent="0.2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spans="1:26" ht="14.25" customHeight="1" x14ac:dyDescent="0.2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spans="1:26" ht="14.25" customHeight="1" x14ac:dyDescent="0.2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spans="1:26" ht="14.25" customHeight="1" x14ac:dyDescent="0.2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spans="1:26" ht="14.25" customHeight="1" x14ac:dyDescent="0.2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spans="1:26" ht="14.25" customHeight="1" x14ac:dyDescent="0.2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spans="1:26" ht="14.25" customHeight="1" x14ac:dyDescent="0.2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spans="1:26" ht="14.25" customHeight="1" x14ac:dyDescent="0.2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spans="1:26" ht="14.25" customHeight="1" x14ac:dyDescent="0.2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spans="1:26" ht="14.25" customHeight="1" x14ac:dyDescent="0.2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spans="1:26" ht="14.25" customHeight="1" x14ac:dyDescent="0.2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spans="1:26" ht="14.25" customHeight="1" x14ac:dyDescent="0.2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spans="1:26" ht="14.25" customHeight="1" x14ac:dyDescent="0.2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spans="1:26" ht="14.25" customHeight="1" x14ac:dyDescent="0.2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spans="1:26" ht="14.25" customHeight="1" x14ac:dyDescent="0.2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spans="1:26" ht="14.25" customHeight="1" x14ac:dyDescent="0.2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spans="1:26" ht="14.25" customHeight="1" x14ac:dyDescent="0.2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spans="1:26" ht="14.25" customHeight="1" x14ac:dyDescent="0.2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spans="1:26" ht="14.25" customHeight="1" x14ac:dyDescent="0.2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spans="1:26" ht="14.25" customHeight="1" x14ac:dyDescent="0.2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spans="1:26" ht="14.25" customHeight="1" x14ac:dyDescent="0.2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spans="1:26" ht="14.25" customHeight="1" x14ac:dyDescent="0.2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spans="1:26" ht="14.25" customHeight="1" x14ac:dyDescent="0.2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spans="1:26" ht="14.25" customHeight="1" x14ac:dyDescent="0.2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spans="1:26" ht="14.25" customHeight="1" x14ac:dyDescent="0.2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spans="1:26" ht="14.25" customHeight="1" x14ac:dyDescent="0.2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spans="1:26" ht="14.25" customHeight="1" x14ac:dyDescent="0.2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spans="1:26" ht="14.25" customHeight="1" x14ac:dyDescent="0.2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spans="1:26" ht="14.25" customHeight="1" x14ac:dyDescent="0.2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spans="1:26" ht="14.25" customHeight="1" x14ac:dyDescent="0.2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spans="1:26" ht="14.25" customHeight="1" x14ac:dyDescent="0.2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spans="1:26" ht="14.25" customHeight="1" x14ac:dyDescent="0.2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spans="1:26" ht="14.25" customHeight="1" x14ac:dyDescent="0.2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spans="1:26" ht="14.25" customHeight="1" x14ac:dyDescent="0.2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spans="1:26" ht="14.25" customHeight="1" x14ac:dyDescent="0.2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spans="1:26" ht="14.25" customHeight="1" x14ac:dyDescent="0.2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spans="1:26" ht="14.25" customHeight="1" x14ac:dyDescent="0.2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spans="1:26" ht="14.25" customHeight="1" x14ac:dyDescent="0.2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spans="1:26" ht="14.25" customHeight="1" x14ac:dyDescent="0.2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spans="1:26" ht="14.25" customHeight="1" x14ac:dyDescent="0.2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spans="1:26" ht="14.25" customHeight="1" x14ac:dyDescent="0.2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spans="1:26" ht="14.25" customHeight="1" x14ac:dyDescent="0.2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spans="1:26" ht="14.25" customHeight="1" x14ac:dyDescent="0.2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spans="1:26" ht="14.25" customHeight="1" x14ac:dyDescent="0.2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spans="1:26" ht="14.25" customHeight="1" x14ac:dyDescent="0.2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spans="1:26" ht="14.25" customHeight="1" x14ac:dyDescent="0.2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spans="1:26" ht="14.25" customHeight="1" x14ac:dyDescent="0.2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spans="1:26" ht="14.25" customHeight="1" x14ac:dyDescent="0.2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spans="1:26" ht="14.25" customHeight="1" x14ac:dyDescent="0.2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spans="1:26" ht="14.25" customHeight="1" x14ac:dyDescent="0.2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spans="1:26" ht="14.25" customHeight="1" x14ac:dyDescent="0.2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spans="1:26" ht="14.25" customHeight="1" x14ac:dyDescent="0.2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spans="1:26" ht="14.25" customHeight="1" x14ac:dyDescent="0.2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spans="1:26" ht="14.25" customHeight="1" x14ac:dyDescent="0.2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spans="1:26" ht="14.25" customHeight="1" x14ac:dyDescent="0.2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spans="1:26" ht="14.25" customHeight="1" x14ac:dyDescent="0.2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spans="1:26" ht="14.25" customHeight="1" x14ac:dyDescent="0.2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spans="1:26" ht="14.25" customHeight="1" x14ac:dyDescent="0.2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spans="1:26" ht="14.25" customHeight="1" x14ac:dyDescent="0.2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spans="1:26" ht="14.25" customHeight="1" x14ac:dyDescent="0.2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spans="1:26" ht="14.25" customHeight="1" x14ac:dyDescent="0.2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spans="1:26" ht="14.25" customHeight="1" x14ac:dyDescent="0.2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spans="1:26" ht="14.25" customHeight="1" x14ac:dyDescent="0.2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spans="1:26" ht="14.25" customHeight="1" x14ac:dyDescent="0.2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spans="1:26" ht="14.25" customHeight="1" x14ac:dyDescent="0.2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spans="1:26" ht="14.25" customHeight="1" x14ac:dyDescent="0.2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spans="1:26" ht="14.25" customHeight="1" x14ac:dyDescent="0.2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spans="1:26" ht="14.25" customHeight="1" x14ac:dyDescent="0.2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spans="1:26" ht="14.25" customHeight="1" x14ac:dyDescent="0.2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spans="1:26" ht="14.25" customHeight="1" x14ac:dyDescent="0.2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spans="1:26" ht="14.25" customHeight="1" x14ac:dyDescent="0.2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spans="1:26" ht="14.25" customHeight="1" x14ac:dyDescent="0.2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spans="1:26" ht="14.25" customHeight="1" x14ac:dyDescent="0.2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spans="1:26" ht="14.25" customHeight="1" x14ac:dyDescent="0.2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spans="1:26" ht="14.25" customHeight="1" x14ac:dyDescent="0.2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spans="1:26" ht="14.25" customHeight="1" x14ac:dyDescent="0.2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spans="1:26" ht="14.25" customHeight="1" x14ac:dyDescent="0.2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spans="1:26" ht="14.25" customHeight="1" x14ac:dyDescent="0.2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spans="1:26" ht="14.25" customHeight="1" x14ac:dyDescent="0.2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spans="1:26" ht="14.25" customHeight="1" x14ac:dyDescent="0.2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spans="1:26" ht="14.25" customHeight="1" x14ac:dyDescent="0.2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spans="1:26" ht="14.25" customHeight="1" x14ac:dyDescent="0.2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spans="1:26" ht="14.25" customHeight="1" x14ac:dyDescent="0.2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spans="1:26" ht="14.25" customHeight="1" x14ac:dyDescent="0.2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spans="1:26" ht="14.25" customHeight="1" x14ac:dyDescent="0.2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spans="1:26" ht="14.25" customHeight="1" x14ac:dyDescent="0.2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spans="1:26" ht="14.25" customHeight="1" x14ac:dyDescent="0.2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spans="1:26" ht="14.25" customHeight="1" x14ac:dyDescent="0.2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spans="1:26" ht="14.25" customHeight="1" x14ac:dyDescent="0.2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spans="1:26" ht="14.25" customHeight="1" x14ac:dyDescent="0.2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spans="1:26" ht="14.25" customHeight="1" x14ac:dyDescent="0.2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spans="1:26" ht="14.25" customHeight="1" x14ac:dyDescent="0.2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spans="1:26" ht="14.25" customHeight="1" x14ac:dyDescent="0.2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spans="1:26" ht="14.25" customHeight="1" x14ac:dyDescent="0.2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spans="1:26" ht="14.25" customHeight="1" x14ac:dyDescent="0.2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spans="1:26" ht="14.25" customHeight="1" x14ac:dyDescent="0.2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spans="1:26" ht="14.25" customHeight="1" x14ac:dyDescent="0.2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spans="1:26" ht="14.25" customHeight="1" x14ac:dyDescent="0.2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spans="1:26" ht="14.25" customHeight="1" x14ac:dyDescent="0.2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spans="1:26" ht="14.25" customHeight="1" x14ac:dyDescent="0.2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spans="1:26" ht="14.25" customHeight="1" x14ac:dyDescent="0.2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spans="1:26" ht="14.25" customHeight="1" x14ac:dyDescent="0.2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spans="1:26" ht="14.25" customHeight="1" x14ac:dyDescent="0.2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spans="1:26" ht="14.25" customHeight="1" x14ac:dyDescent="0.2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spans="1:26" ht="14.25" customHeight="1" x14ac:dyDescent="0.2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spans="1:26" ht="14.25" customHeight="1" x14ac:dyDescent="0.2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spans="1:26" ht="14.25" customHeight="1" x14ac:dyDescent="0.2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spans="1:26" ht="14.25" customHeight="1" x14ac:dyDescent="0.2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spans="1:26" ht="14.25" customHeight="1" x14ac:dyDescent="0.2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spans="1:26" ht="14.25" customHeight="1" x14ac:dyDescent="0.2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spans="1:26" ht="14.25" customHeight="1" x14ac:dyDescent="0.2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spans="1:26" ht="14.25" customHeight="1" x14ac:dyDescent="0.2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spans="1:26" ht="14.25" customHeight="1" x14ac:dyDescent="0.2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spans="1:26" ht="14.25" customHeight="1" x14ac:dyDescent="0.2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spans="1:26" ht="14.25" customHeight="1" x14ac:dyDescent="0.2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spans="1:26" ht="14.25" customHeight="1" x14ac:dyDescent="0.2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spans="1:26" ht="14.25" customHeight="1" x14ac:dyDescent="0.2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spans="1:26" ht="14.25" customHeight="1" x14ac:dyDescent="0.2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spans="1:26" ht="14.25" customHeight="1" x14ac:dyDescent="0.2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spans="1:26" ht="14.25" customHeight="1" x14ac:dyDescent="0.2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spans="1:26" ht="14.25" customHeight="1" x14ac:dyDescent="0.2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spans="1:26" ht="14.25" customHeight="1" x14ac:dyDescent="0.2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spans="1:26" ht="14.25" customHeight="1" x14ac:dyDescent="0.2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spans="1:26" ht="14.25" customHeight="1" x14ac:dyDescent="0.2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spans="1:26" ht="14.25" customHeight="1" x14ac:dyDescent="0.2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spans="1:26" ht="14.25" customHeight="1" x14ac:dyDescent="0.2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spans="1:26" ht="14.25" customHeight="1" x14ac:dyDescent="0.2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spans="1:26" ht="14.25" customHeight="1" x14ac:dyDescent="0.2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spans="1:26" ht="14.25" customHeight="1" x14ac:dyDescent="0.2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spans="1:26" ht="14.25" customHeight="1" x14ac:dyDescent="0.2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spans="1:26" ht="14.25" customHeight="1" x14ac:dyDescent="0.2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spans="1:26" ht="14.25" customHeight="1" x14ac:dyDescent="0.2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spans="1:26" ht="14.25" customHeight="1" x14ac:dyDescent="0.2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spans="1:26" ht="14.25" customHeight="1" x14ac:dyDescent="0.2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spans="1:26" ht="14.25" customHeight="1" x14ac:dyDescent="0.2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spans="1:26" ht="14.25" customHeight="1" x14ac:dyDescent="0.2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spans="1:26" ht="14.25" customHeight="1" x14ac:dyDescent="0.2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spans="1:26" ht="14.25" customHeight="1" x14ac:dyDescent="0.2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spans="1:26" ht="14.25" customHeight="1" x14ac:dyDescent="0.2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spans="1:26" ht="14.25" customHeight="1" x14ac:dyDescent="0.2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spans="1:26" ht="14.25" customHeight="1" x14ac:dyDescent="0.2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spans="1:26" ht="14.25" customHeight="1" x14ac:dyDescent="0.2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spans="1:26" ht="14.25" customHeight="1" x14ac:dyDescent="0.2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spans="1:26" ht="14.25" customHeight="1" x14ac:dyDescent="0.2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spans="1:26" ht="14.25" customHeight="1" x14ac:dyDescent="0.2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spans="1:26" ht="14.25" customHeight="1" x14ac:dyDescent="0.2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spans="1:26" ht="14.25" customHeight="1" x14ac:dyDescent="0.2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spans="1:26" ht="14.25" customHeight="1" x14ac:dyDescent="0.2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spans="1:26" ht="14.25" customHeight="1" x14ac:dyDescent="0.2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spans="1:26" ht="14.25" customHeight="1" x14ac:dyDescent="0.2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spans="1:26" ht="14.25" customHeight="1" x14ac:dyDescent="0.2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spans="1:26" ht="14.25" customHeight="1" x14ac:dyDescent="0.2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spans="1:26" ht="14.25" customHeight="1" x14ac:dyDescent="0.2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spans="1:26" ht="14.25" customHeight="1" x14ac:dyDescent="0.2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spans="1:26" ht="14.25" customHeight="1" x14ac:dyDescent="0.2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spans="1:26" ht="14.25" customHeight="1" x14ac:dyDescent="0.2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spans="1:26" ht="14.25" customHeight="1" x14ac:dyDescent="0.2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spans="1:26" ht="14.25" customHeight="1" x14ac:dyDescent="0.2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spans="1:26" ht="14.25" customHeight="1" x14ac:dyDescent="0.2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spans="1:26" ht="14.25" customHeight="1" x14ac:dyDescent="0.2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spans="1:26" ht="14.25" customHeight="1" x14ac:dyDescent="0.2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spans="1:26" ht="14.25" customHeight="1" x14ac:dyDescent="0.2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spans="1:26" ht="14.25" customHeight="1" x14ac:dyDescent="0.2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spans="1:26" ht="14.25" customHeight="1" x14ac:dyDescent="0.2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spans="1:26" ht="14.25" customHeight="1" x14ac:dyDescent="0.2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spans="1:26" ht="14.25" customHeight="1" x14ac:dyDescent="0.2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spans="1:26" ht="14.25" customHeight="1" x14ac:dyDescent="0.2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spans="1:26" ht="14.25" customHeight="1" x14ac:dyDescent="0.2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spans="1:26" ht="14.25" customHeight="1" x14ac:dyDescent="0.2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spans="1:26" ht="14.25" customHeight="1" x14ac:dyDescent="0.2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spans="1:26" ht="14.25" customHeight="1" x14ac:dyDescent="0.2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spans="1:26" ht="14.25" customHeight="1" x14ac:dyDescent="0.2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spans="1:26" ht="14.25" customHeight="1" x14ac:dyDescent="0.2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spans="1:26" ht="14.25" customHeight="1" x14ac:dyDescent="0.2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spans="1:26" ht="14.25" customHeight="1" x14ac:dyDescent="0.2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spans="1:26" ht="14.25" customHeight="1" x14ac:dyDescent="0.2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spans="1:26" ht="14.25" customHeight="1" x14ac:dyDescent="0.2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spans="1:26" ht="14.25" customHeight="1" x14ac:dyDescent="0.2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spans="1:26" ht="14.25" customHeight="1" x14ac:dyDescent="0.2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spans="1:26" ht="14.25" customHeight="1" x14ac:dyDescent="0.2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spans="1:26" ht="14.25" customHeight="1" x14ac:dyDescent="0.2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spans="1:26" ht="14.25" customHeight="1" x14ac:dyDescent="0.2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spans="1:26" ht="14.25" customHeight="1" x14ac:dyDescent="0.2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spans="1:26" ht="14.25" customHeight="1" x14ac:dyDescent="0.2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spans="1:26" ht="14.25" customHeight="1" x14ac:dyDescent="0.2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spans="1:26" ht="14.25" customHeight="1" x14ac:dyDescent="0.2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spans="1:26" ht="14.25" customHeight="1" x14ac:dyDescent="0.2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spans="1:26" ht="14.25" customHeight="1" x14ac:dyDescent="0.2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spans="1:26" ht="14.25" customHeight="1" x14ac:dyDescent="0.2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spans="1:26" ht="14.25" customHeight="1" x14ac:dyDescent="0.2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spans="1:26" ht="14.25" customHeight="1" x14ac:dyDescent="0.2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spans="1:26" ht="14.25" customHeight="1" x14ac:dyDescent="0.2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spans="1:26" ht="14.25" customHeight="1" x14ac:dyDescent="0.2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spans="1:26" ht="14.25" customHeight="1" x14ac:dyDescent="0.2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spans="1:26" ht="14.25" customHeight="1" x14ac:dyDescent="0.2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spans="1:26" ht="14.25" customHeight="1" x14ac:dyDescent="0.2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spans="1:26" ht="14.25" customHeight="1" x14ac:dyDescent="0.2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spans="1:26" ht="14.25" customHeight="1" x14ac:dyDescent="0.2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spans="1:26" ht="14.25" customHeight="1" x14ac:dyDescent="0.2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spans="1:26" ht="14.25" customHeight="1" x14ac:dyDescent="0.2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spans="1:26" ht="14.25" customHeight="1" x14ac:dyDescent="0.2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spans="1:26" ht="14.25" customHeight="1" x14ac:dyDescent="0.2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spans="1:26" ht="14.25" customHeight="1" x14ac:dyDescent="0.2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spans="1:26" ht="14.25" customHeight="1" x14ac:dyDescent="0.2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spans="1:26" ht="14.25" customHeight="1" x14ac:dyDescent="0.2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mergeCells count="10">
    <mergeCell ref="D6:F6"/>
    <mergeCell ref="D7:F7"/>
    <mergeCell ref="C1:F1"/>
    <mergeCell ref="D2:F2"/>
    <mergeCell ref="B3:B8"/>
    <mergeCell ref="C3:C8"/>
    <mergeCell ref="D3:F3"/>
    <mergeCell ref="D4:F4"/>
    <mergeCell ref="D5:F5"/>
    <mergeCell ref="D8:F8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PROGRAMA DE AUDITORIA</vt:lpstr>
      <vt:lpstr>ANEXOS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Edson Giordano Perez Gutierrez</cp:lastModifiedBy>
  <dcterms:created xsi:type="dcterms:W3CDTF">2008-06-02T16:01:08Z</dcterms:created>
  <dcterms:modified xsi:type="dcterms:W3CDTF">2026-01-23T17:24:27Z</dcterms:modified>
</cp:coreProperties>
</file>